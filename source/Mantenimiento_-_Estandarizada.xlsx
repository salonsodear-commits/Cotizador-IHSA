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lonso\Downloads\"/>
    </mc:Choice>
  </mc:AlternateContent>
  <xr:revisionPtr revIDLastSave="0" documentId="8_{00708818-C471-49F2-808A-47C623C98CE8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Detalle y consultas" sheetId="1" r:id="rId1"/>
    <sheet name="Trailers" sheetId="5" r:id="rId2"/>
    <sheet name="Logistica" sheetId="4" r:id="rId3"/>
    <sheet name="Ambulancias" sheetId="3" r:id="rId4"/>
    <sheet name="Tabla Estandarizada" sheetId="6" r:id="rId5"/>
  </sheets>
  <externalReferences>
    <externalReference r:id="rId6"/>
    <externalReference r:id="rId7"/>
  </externalReferences>
  <definedNames>
    <definedName name="ChofBruto">[1]MO!$G$29</definedName>
    <definedName name="dolar">'Detalle y consultas'!#REF!</definedName>
    <definedName name="EnfBruto">[1]MO!$G$82</definedName>
    <definedName name="Indices">[2]Validaciones!$B$79:$B$83</definedName>
    <definedName name="Indices3">[2]Validaciones!$B$94:$B$98</definedName>
    <definedName name="Insumos_Directo_Indirecto">[2]Validaciones!$B$61:$B$63</definedName>
    <definedName name="MedBruto">[1]MO!$G$128</definedName>
    <definedName name="PreocAño">'Detalle y consultas'!#REF!</definedName>
    <definedName name="T_Relac_con_servic">[2]Validaciones!$B$39:$B$42</definedName>
    <definedName name="T_Tipo_neumat">[2]Validaciones!$B$46:$B$47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1" l="1"/>
  <c r="G65" i="1"/>
  <c r="G7" i="5"/>
  <c r="G6" i="5"/>
  <c r="H80" i="5"/>
  <c r="H81" i="5"/>
  <c r="H82" i="5"/>
  <c r="H83" i="5"/>
  <c r="H84" i="5"/>
  <c r="H72" i="5"/>
  <c r="H73" i="5"/>
  <c r="H74" i="5"/>
  <c r="H75" i="5"/>
  <c r="H76" i="5"/>
  <c r="D59" i="5"/>
  <c r="D68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E4" i="5"/>
  <c r="G4" i="5"/>
  <c r="E5" i="5"/>
  <c r="G5" i="5"/>
  <c r="E8" i="5"/>
  <c r="G8" i="5"/>
  <c r="E9" i="5"/>
  <c r="G9" i="5"/>
  <c r="G10" i="5"/>
  <c r="G11" i="5"/>
  <c r="G12" i="5"/>
  <c r="G13" i="5"/>
  <c r="G14" i="5"/>
  <c r="G15" i="5"/>
  <c r="G16" i="5"/>
  <c r="G17" i="5"/>
  <c r="G18" i="5"/>
  <c r="G19" i="5"/>
  <c r="E21" i="5"/>
  <c r="G25" i="4"/>
  <c r="G26" i="4"/>
  <c r="E4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E17" i="4"/>
  <c r="G17" i="4"/>
  <c r="G18" i="4"/>
  <c r="G19" i="4"/>
  <c r="G20" i="4"/>
  <c r="E21" i="4"/>
  <c r="G21" i="4"/>
  <c r="E22" i="4"/>
  <c r="G22" i="4"/>
  <c r="G23" i="4"/>
  <c r="G24" i="4"/>
  <c r="G27" i="4"/>
  <c r="G28" i="4"/>
  <c r="G29" i="4"/>
  <c r="G30" i="4"/>
  <c r="E33" i="4"/>
  <c r="G33" i="4"/>
  <c r="G34" i="4"/>
  <c r="G24" i="3"/>
  <c r="G23" i="3"/>
  <c r="D2" i="3"/>
  <c r="E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E16" i="3"/>
  <c r="G16" i="3"/>
  <c r="G17" i="3"/>
  <c r="G18" i="3"/>
  <c r="G19" i="3"/>
  <c r="G20" i="3"/>
  <c r="E21" i="3"/>
  <c r="G21" i="3"/>
  <c r="E22" i="3"/>
  <c r="G22" i="3"/>
  <c r="G25" i="3"/>
  <c r="G26" i="3"/>
  <c r="G27" i="3"/>
  <c r="H141" i="1"/>
  <c r="H142" i="1"/>
  <c r="H140" i="1"/>
  <c r="H139" i="1"/>
  <c r="H143" i="1" s="1"/>
  <c r="G77" i="1"/>
  <c r="G78" i="1"/>
  <c r="G54" i="1"/>
  <c r="G55" i="1"/>
  <c r="G56" i="1"/>
  <c r="G33" i="1"/>
  <c r="G5" i="1"/>
  <c r="G74" i="1" l="1"/>
  <c r="H134" i="1" l="1"/>
  <c r="H133" i="1"/>
  <c r="H132" i="1"/>
  <c r="H131" i="1"/>
  <c r="D118" i="1"/>
  <c r="D127" i="1" s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76" i="1"/>
  <c r="G75" i="1"/>
  <c r="G73" i="1"/>
  <c r="G72" i="1"/>
  <c r="G71" i="1"/>
  <c r="G70" i="1"/>
  <c r="G69" i="1"/>
  <c r="G68" i="1"/>
  <c r="G67" i="1"/>
  <c r="G64" i="1"/>
  <c r="G63" i="1"/>
  <c r="E63" i="1"/>
  <c r="G53" i="1"/>
  <c r="G52" i="1"/>
  <c r="G51" i="1"/>
  <c r="G50" i="1"/>
  <c r="G49" i="1"/>
  <c r="E49" i="1"/>
  <c r="G48" i="1"/>
  <c r="G47" i="1"/>
  <c r="G46" i="1"/>
  <c r="G45" i="1"/>
  <c r="G44" i="1"/>
  <c r="E44" i="1"/>
  <c r="G43" i="1"/>
  <c r="G42" i="1"/>
  <c r="G41" i="1"/>
  <c r="G40" i="1"/>
  <c r="G39" i="1"/>
  <c r="G38" i="1"/>
  <c r="G37" i="1"/>
  <c r="G36" i="1"/>
  <c r="G35" i="1"/>
  <c r="G34" i="1"/>
  <c r="G32" i="1"/>
  <c r="G31" i="1"/>
  <c r="E31" i="1"/>
  <c r="G25" i="1"/>
  <c r="G24" i="1"/>
  <c r="G23" i="1"/>
  <c r="G22" i="1"/>
  <c r="E22" i="1"/>
  <c r="G21" i="1"/>
  <c r="G20" i="1"/>
  <c r="G19" i="1"/>
  <c r="G18" i="1"/>
  <c r="G17" i="1"/>
  <c r="G16" i="1"/>
  <c r="E16" i="1"/>
  <c r="G15" i="1"/>
  <c r="G14" i="1"/>
  <c r="G13" i="1"/>
  <c r="G12" i="1"/>
  <c r="G11" i="1"/>
  <c r="G10" i="1"/>
  <c r="G9" i="1"/>
  <c r="G8" i="1"/>
  <c r="G7" i="1"/>
  <c r="G6" i="1"/>
  <c r="G4" i="1"/>
  <c r="G3" i="1"/>
  <c r="D2" i="1"/>
  <c r="E2" i="1" s="1"/>
  <c r="H135" i="1" l="1"/>
  <c r="G2" i="1"/>
  <c r="E68" i="1"/>
  <c r="E48" i="1"/>
  <c r="E64" i="1"/>
  <c r="G113" i="1"/>
  <c r="G58" i="1"/>
  <c r="G59" i="1" s="1"/>
  <c r="E58" i="1"/>
  <c r="E67" i="1"/>
  <c r="E21" i="1"/>
  <c r="E8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invitado</author>
  </authors>
  <commentList>
    <comment ref="D2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Usuario desconocido:
MONEDA USD. PRECIO POR UNICA VEZ. TODOS LOS MOVILES DE IHSA / YPF CUENTAN CON MICROTRACK INSTALADO</t>
        </r>
      </text>
    </comment>
    <comment ref="F2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Usuario desconocido:
VALOR POR UNICA VEZ</t>
        </r>
      </text>
    </comment>
    <comment ref="D48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Usuario desconocido:
moneda USD. todos los moviles de logistica ya tienen gps instalado.
Precio para nuevos moviles</t>
        </r>
      </text>
    </comment>
    <comment ref="D6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Usuario desconocido:
Moneda USD. Valor informado por PEISAS 25/11/2025</t>
        </r>
      </text>
    </comment>
    <comment ref="D6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Usuario desconocido:
Moneda USD. Valor informado por PEISAS 25/11/2025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invitado</author>
  </authors>
  <commentList>
    <comment ref="D4" authorId="0" shapeId="0" xr:uid="{1AB8A19C-4610-4934-992B-A422626CDE76}">
      <text>
        <r>
          <rPr>
            <sz val="11"/>
            <color theme="1"/>
            <rFont val="Calibri"/>
            <family val="2"/>
            <scheme val="minor"/>
          </rPr>
          <t>Usuario desconocido:
Moneda USD. Valor informado por PEISAS / CYE 6/05/2026</t>
        </r>
      </text>
    </comment>
    <comment ref="D5" authorId="0" shapeId="0" xr:uid="{45C57369-4410-49C0-A9F1-6DD34597350A}">
      <text>
        <r>
          <rPr>
            <sz val="11"/>
            <color theme="1"/>
            <rFont val="Calibri"/>
            <family val="2"/>
            <scheme val="minor"/>
          </rPr>
          <t xml:space="preserve">Usuario desconocido:
Moneda USD. Valor informado por PEISAS / CYE 06/05/2026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invitado</author>
  </authors>
  <commentList>
    <comment ref="D21" authorId="0" shapeId="0" xr:uid="{1A036A56-E9DA-4769-9FB6-4BB2982A4CD9}">
      <text>
        <r>
          <rPr>
            <sz val="11"/>
            <color theme="1"/>
            <rFont val="Calibri"/>
            <family val="2"/>
            <scheme val="minor"/>
          </rPr>
          <t>Usuario desconocido:
moneda USD. todos los moviles de logistica ya tienen gps instalado.
Precio para nuevos moviles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invitado</author>
  </authors>
  <commentList>
    <comment ref="D21" authorId="0" shapeId="0" xr:uid="{6377813E-31DF-4849-97B6-963DC9014DB6}">
      <text>
        <r>
          <rPr>
            <sz val="11"/>
            <color theme="1"/>
            <rFont val="Calibri"/>
            <family val="2"/>
            <scheme val="minor"/>
          </rPr>
          <t>Usuario desconocido:
MONEDA USD. PRECIO POR UNICA VEZ. TODOS LOS MOVILES DE IHSA / YPF CUENTAN CON MICROTRACK INSTALADO</t>
        </r>
      </text>
    </comment>
    <comment ref="F21" authorId="0" shapeId="0" xr:uid="{5F9DE201-D718-426C-9F1C-185C2BBEF31B}">
      <text>
        <r>
          <rPr>
            <sz val="11"/>
            <color theme="1"/>
            <rFont val="Calibri"/>
            <family val="2"/>
            <scheme val="minor"/>
          </rPr>
          <t>Usuario desconocido:
VALOR POR UNICA VEZ</t>
        </r>
      </text>
    </comment>
  </commentList>
</comments>
</file>

<file path=xl/sharedStrings.xml><?xml version="1.0" encoding="utf-8"?>
<sst xmlns="http://schemas.openxmlformats.org/spreadsheetml/2006/main" count="1648" uniqueCount="407">
  <si>
    <t>Valor de compra /Total</t>
  </si>
  <si>
    <t xml:space="preserve">Inversión inicial </t>
  </si>
  <si>
    <t>Meses</t>
  </si>
  <si>
    <t>Valor mensual</t>
  </si>
  <si>
    <t>Observaciones</t>
  </si>
  <si>
    <t xml:space="preserve">Móvil </t>
  </si>
  <si>
    <t>UTIM</t>
  </si>
  <si>
    <t xml:space="preserve">Amortizacion - Movil US </t>
  </si>
  <si>
    <t>Sifuentes 25/8 - Carrozado $39.349.166,00 + cabina simple $43.231.000,00  + patentamiento $1.672.716,49</t>
  </si>
  <si>
    <t>Repuestos - Movil US - indicadores de torque</t>
  </si>
  <si>
    <t>Repuestos - Movil US - kit de seguridad</t>
  </si>
  <si>
    <t>Movil</t>
  </si>
  <si>
    <t>respuestos - Movil US - Cadenas</t>
  </si>
  <si>
    <t>Repuestos - Movil US - plaquetas perimetrales</t>
  </si>
  <si>
    <t>Repuestos - Movil US - actuador de turbo</t>
  </si>
  <si>
    <t xml:space="preserve">Repuestos - Movil US - escobillas </t>
  </si>
  <si>
    <t xml:space="preserve">Repuestos - Movil US - burletes habitaculo trasero </t>
  </si>
  <si>
    <t>Repuestos - Movil US - carga aire acondicionado</t>
  </si>
  <si>
    <t>Repuestos - Movil US - correa auxiliar + tensores</t>
  </si>
  <si>
    <t>Repuestos - Movil US - Recarga de matafuego 1kg</t>
  </si>
  <si>
    <t>Repuestos - Movil US - Recarga de matafuego 2,5kg</t>
  </si>
  <si>
    <t>Cubiertas</t>
  </si>
  <si>
    <t>x 6</t>
  </si>
  <si>
    <t>Marca China / proveedor mil ruedas</t>
  </si>
  <si>
    <t>Alineacion, balanceo + rotacion</t>
  </si>
  <si>
    <t>VTV - Móvil US</t>
  </si>
  <si>
    <t>Service Móvil US</t>
  </si>
  <si>
    <t>Cambio de baterías - Móvil US</t>
  </si>
  <si>
    <t>Cambio bateria habitaculo tras</t>
  </si>
  <si>
    <t>Frenos, revisión y cambios de pastillas - Móvil US</t>
  </si>
  <si>
    <t>Tacógrafos / Instalacion</t>
  </si>
  <si>
    <t>Tacógrafos / Abono</t>
  </si>
  <si>
    <t>Lavado</t>
  </si>
  <si>
    <t>Combustible</t>
  </si>
  <si>
    <t>precio 29/04/2026</t>
  </si>
  <si>
    <t>Valor Lt combustible infinia diesel $2520</t>
  </si>
  <si>
    <t>Telefonia</t>
  </si>
  <si>
    <t>ver con logistica</t>
  </si>
  <si>
    <t>EPP personal mamuluco ignif</t>
  </si>
  <si>
    <t xml:space="preserve">ver con Facu </t>
  </si>
  <si>
    <t xml:space="preserve">Radio VHF + Antena </t>
  </si>
  <si>
    <t xml:space="preserve">Agregar cot. de la radio </t>
  </si>
  <si>
    <t>MOVIL DE LOGISTICA</t>
  </si>
  <si>
    <t>Vehiculo 4x4 DC</t>
  </si>
  <si>
    <t>Ranger XL 4x4 2.0 Diesel Valor 29/04</t>
  </si>
  <si>
    <t>Valor Toyota Hilux 4x4 DX (misma gama) $ 57.769.000</t>
  </si>
  <si>
    <t>C/cambio de cubiertas se renuevan</t>
  </si>
  <si>
    <t>Repuestos - Movil US - Kit de cadenas</t>
  </si>
  <si>
    <t>1 vez cuando cuando se compra el movil</t>
  </si>
  <si>
    <t>1 vez por año</t>
  </si>
  <si>
    <t>se renueva por falla del material o extravio de elementos</t>
  </si>
  <si>
    <t>Repuestos - Movil US - Manguera de turbo (juego)</t>
  </si>
  <si>
    <t>1 vez c/ 2 años x preventivo</t>
  </si>
  <si>
    <t>1 vez x año por preventivo</t>
  </si>
  <si>
    <t>Repuestos - Movil US - Lamparas</t>
  </si>
  <si>
    <t>2 lamparas por trimestre</t>
  </si>
  <si>
    <t>Repuestos - Movil US - correa auxiliar</t>
  </si>
  <si>
    <t>Valor toyota (1  vez x año x preventivo)</t>
  </si>
  <si>
    <t>Valor Ranger $168.000</t>
  </si>
  <si>
    <t>Repuestos - Movil US - Recarga de matafuego 5kg</t>
  </si>
  <si>
    <t>Cubiertas - Móvil US (2VxA)</t>
  </si>
  <si>
    <t>2 veces x año por preventivo</t>
  </si>
  <si>
    <t>Alineacion, balanceo + rotacion (2VxA)</t>
  </si>
  <si>
    <t xml:space="preserve">Service Móvil US </t>
  </si>
  <si>
    <t>valor toyota (1 vez c/ 2 meses)</t>
  </si>
  <si>
    <t>Valor Ranger $597.000</t>
  </si>
  <si>
    <t>Frenos, revisión y cambios de pastillas - Móvil US (2VxA)</t>
  </si>
  <si>
    <t>mensual</t>
  </si>
  <si>
    <t>Amortiguadores delanteros</t>
  </si>
  <si>
    <t>Amortiguadores traseros</t>
  </si>
  <si>
    <t>2 lavados x mes</t>
  </si>
  <si>
    <t>Ver junto a Seba Garutti</t>
  </si>
  <si>
    <t xml:space="preserve">Botiquin de primeros auxilios </t>
  </si>
  <si>
    <t>Ver con logistica</t>
  </si>
  <si>
    <t>Total</t>
  </si>
  <si>
    <t>Incidencia</t>
  </si>
  <si>
    <t>Trailers</t>
  </si>
  <si>
    <t>Item</t>
  </si>
  <si>
    <t xml:space="preserve">Valor de compra </t>
  </si>
  <si>
    <t xml:space="preserve">Valor Inicial </t>
  </si>
  <si>
    <t xml:space="preserve">Amortización  Trailer Enfermería </t>
  </si>
  <si>
    <t xml:space="preserve">CYE - 24/4/26 - Se usará para fijos - Viene completo sin electromedicina </t>
  </si>
  <si>
    <t xml:space="preserve">Amortización  Trailer Habitacional </t>
  </si>
  <si>
    <t xml:space="preserve">CYE - 24/4/26 - Se usará para fijos - Viene completo con cama y todo </t>
  </si>
  <si>
    <t xml:space="preserve">Alquiler Trailer Enfermería </t>
  </si>
  <si>
    <t xml:space="preserve">CYE o PEISAS - 29/4/26 - se usará para eventual </t>
  </si>
  <si>
    <t xml:space="preserve">Alquiler Trailer Habitacional </t>
  </si>
  <si>
    <t>Antena Starlink Mini</t>
  </si>
  <si>
    <t>Abono Starlink</t>
  </si>
  <si>
    <t>Materiales - Garrafa Gas R410 (c/4trailers)</t>
  </si>
  <si>
    <t>Valor garrafa $305.000 30/04/26</t>
  </si>
  <si>
    <t>Materiales - Plafones</t>
  </si>
  <si>
    <t>6 en total por trailer</t>
  </si>
  <si>
    <t>Materiales - Monocomandos (3)</t>
  </si>
  <si>
    <t xml:space="preserve">Grifería shock room, baño, oficina. </t>
  </si>
  <si>
    <t>Materiales - Manguera</t>
  </si>
  <si>
    <t>valor metro $3300</t>
  </si>
  <si>
    <t>Materiales - insumos de ferreteria</t>
  </si>
  <si>
    <t>Termotanque 40Ltrs</t>
  </si>
  <si>
    <t>Aire Acondicionado 2800w</t>
  </si>
  <si>
    <t xml:space="preserve">Anafe </t>
  </si>
  <si>
    <t>Barral antipánico</t>
  </si>
  <si>
    <t xml:space="preserve">1 completo por año </t>
  </si>
  <si>
    <t>Luces de emergencias x3</t>
  </si>
  <si>
    <t>Equipamiento Trailers</t>
  </si>
  <si>
    <t xml:space="preserve">No se impacta, se ve luego a detalle con Chris Salto </t>
  </si>
  <si>
    <t>ACCESORIOS y ELEMENTOS COMPLEMENTARIOS PARA LA UNIDAD SANITARIA</t>
  </si>
  <si>
    <t>QTY</t>
  </si>
  <si>
    <t>Costo total</t>
  </si>
  <si>
    <t>Amortizacion QTY</t>
  </si>
  <si>
    <t>Costo Amortizado mensual</t>
  </si>
  <si>
    <t>1)   Dos tubos de oxígeno de 5 metros cúbicos.</t>
  </si>
  <si>
    <t>2)   Dos Tubos de Oxígeno de 1 Metro cúbico.</t>
  </si>
  <si>
    <t>3)   Dos Camillas con barandas desplazables de seguridad.</t>
  </si>
  <si>
    <t>4)   Cubrecamillas descartables.</t>
  </si>
  <si>
    <t>5)   4 Mantas de lana.</t>
  </si>
  <si>
    <t>6)   Dos  Tablas  rígida  tipo  Iron  Duck  con  inmovilizador  latero-cervical  y  cinco  juegos  de cinturones de seguridad.</t>
  </si>
  <si>
    <t>7)    Dos Juegos de collares de Filadelfia tipo Laerdal o Phillil  tamaño 5,25, 4,25 y 3,25.</t>
  </si>
  <si>
    <t>8)    Dos Juegos de férulas completo para miembro superior y miembro inferior neumáticas y rígidas.</t>
  </si>
  <si>
    <t>9)   Dos Chalecos de extricación ballenado tipo Fernno Ked</t>
  </si>
  <si>
    <t>10) Cinco Máscaras para oxígeno-terapia con reservorio</t>
  </si>
  <si>
    <t>11) Dos Set de 4 tubos de intubación endotraqueal.</t>
  </si>
  <si>
    <t>12) Dos sets de cánulas de Mayo</t>
  </si>
  <si>
    <t>13) Una Pinza Macgill</t>
  </si>
  <si>
    <t>14) Un Juego de Mascaras Laríngeas (de por lo menos 4 medidas)</t>
  </si>
  <si>
    <t>15) Tres Kit de vía central</t>
  </si>
  <si>
    <t>16) Un Kit de punción pericárdica</t>
  </si>
  <si>
    <t>17) Dos Mordillos de fijación de tubos endotraqueales</t>
  </si>
  <si>
    <t>18) Dos Tijera multipropósito</t>
  </si>
  <si>
    <t>19) Una Linterna</t>
  </si>
  <si>
    <t>20) Una caja Guantes descartables por 100</t>
  </si>
  <si>
    <t>21) Un Bolso de transporte para elementos de primeros auxilios</t>
  </si>
  <si>
    <t>22) Dos Mantas Burn Free chica</t>
  </si>
  <si>
    <t>23) Dos Frazada común</t>
  </si>
  <si>
    <t>24) Dos Frazada polar</t>
  </si>
  <si>
    <t>25) Dos Descartadores de material punzante.</t>
  </si>
  <si>
    <t>26) Dos Kit para quemaduras.</t>
  </si>
  <si>
    <t>27) Platsul A pote pote 350 gr.</t>
  </si>
  <si>
    <t>28) Steri- strip un envase</t>
  </si>
  <si>
    <t>29) 01 (un) termómetro</t>
  </si>
  <si>
    <t>total mensual</t>
  </si>
  <si>
    <t>Mobiliario y elementos de US</t>
  </si>
  <si>
    <t>Terminar de ver el resto con Chris Salto / Nico Sifuentes</t>
  </si>
  <si>
    <t>Mensual</t>
  </si>
  <si>
    <t>Carro de Paro.</t>
  </si>
  <si>
    <t>1 por US  - Ema Cutuli 22/8</t>
  </si>
  <si>
    <t>Tubos de oxígeno de 2 metros cúbicos.</t>
  </si>
  <si>
    <t>2 en la US y el móvil ya viene con dos - Ema Cutuli 22/8</t>
  </si>
  <si>
    <t>Camillas con barandas desplazables de seguridad.</t>
  </si>
  <si>
    <t>Ema Cutuli 22/8</t>
  </si>
  <si>
    <t>Soporte para suero</t>
  </si>
  <si>
    <t>Escalerilla para camillas</t>
  </si>
  <si>
    <t>Taburete</t>
  </si>
  <si>
    <t>Cesto de residuos comunes</t>
  </si>
  <si>
    <t>Cesto de residuos patológicos</t>
  </si>
  <si>
    <t>Balanza de pie con tallímetro</t>
  </si>
  <si>
    <t>Silla de ruedas</t>
  </si>
  <si>
    <t>TOTAL</t>
  </si>
  <si>
    <t xml:space="preserve">DTM </t>
  </si>
  <si>
    <t xml:space="preserve">Concepto </t>
  </si>
  <si>
    <t xml:space="preserve">Proveedor </t>
  </si>
  <si>
    <t xml:space="preserve">Mes </t>
  </si>
  <si>
    <t xml:space="preserve">Unitario </t>
  </si>
  <si>
    <t>Traslado de trailer Carga/Descarga</t>
  </si>
  <si>
    <t xml:space="preserve">Servicio Elías </t>
  </si>
  <si>
    <t xml:space="preserve">Valor Mar-Abr 2026 </t>
  </si>
  <si>
    <t>Valor x KM</t>
  </si>
  <si>
    <t>Jornada de 12hs con guinche</t>
  </si>
  <si>
    <t>Valor Mar-Abr 2026 - Si el camion tuviera que estar la jornada completa en un lugar indicado.</t>
  </si>
  <si>
    <t>Hora de espera de Trailer</t>
  </si>
  <si>
    <t xml:space="preserve">Transvasco </t>
  </si>
  <si>
    <t>Jornada de 8hs con guinche (pernocte)</t>
  </si>
  <si>
    <t xml:space="preserve">CONSULTAS </t>
  </si>
  <si>
    <t>*Radio VHF y frecuencia en ambulancia es provista por la operadora?</t>
  </si>
  <si>
    <t>*Radio VHF y frecuencia en vehiculos de logistica en sitio, es provista por la operadora?</t>
  </si>
  <si>
    <t xml:space="preserve">*En el caso de que deba ser provisto por la contrastista, que marca de radio y empresa para programacion de frecuencia estan utilizando? </t>
  </si>
  <si>
    <t>*Los vehiculos de logistica tambien llevan starlink?</t>
  </si>
  <si>
    <t>*3 vehiculos de logistica disponibles en sitio? o, 1 vehiculo de logistica en sitio + 2 de traslado de personal?</t>
  </si>
  <si>
    <t xml:space="preserve">CYE - 06/5/26 - Se usará para fijos - Viene completo sin electromedicina </t>
  </si>
  <si>
    <t xml:space="preserve">CYE - 06/5/26 - Se usará para fijos - Viene completo con cama y todo </t>
  </si>
  <si>
    <t>ABONO POR 500GB MENSUALES</t>
  </si>
  <si>
    <t>ver con compras</t>
  </si>
  <si>
    <t>OBSERVACIONES</t>
  </si>
  <si>
    <t>*En caso de ser adjudicados con la licitacion:</t>
  </si>
  <si>
    <t>ENFERMERIAS</t>
  </si>
  <si>
    <t>1 - Trailer enfermeria Bateria 3 = Ok en funcionamiento</t>
  </si>
  <si>
    <t>2 - Trailer enfermeria Bateria 4 = Ok en funcionamiento</t>
  </si>
  <si>
    <t>3 - Trailer enfermeria Aguila Mora = Ok en funcionamiento</t>
  </si>
  <si>
    <t>4 - Trailer enfermeria Aguada Federal = No Ok - ADQUIRIR</t>
  </si>
  <si>
    <t>5 - Trailer enfermeria Aluvional = No Ok - ADQUIRIR</t>
  </si>
  <si>
    <t>6- Trailer enfermeria p/eventuales = No Ok - ADQUIRIR o alquilar un trailer tipo company man en caso de solicitud</t>
  </si>
  <si>
    <t>7 - Abono stalink incluye enfermeria y habitacional</t>
  </si>
  <si>
    <t>HABITACIONAL</t>
  </si>
  <si>
    <t>1 - Trailer habitacional Bateria 3 = Ok en funcionamiento</t>
  </si>
  <si>
    <t>2 - Trailer habitacional Bateria 4 = Ok en funcionamiento</t>
  </si>
  <si>
    <t>3 - Trailer habitacional Aguila Mora = Ok en funcionamiento</t>
  </si>
  <si>
    <t xml:space="preserve">4 - Trailer Habitacional Aguada Federal = Ok </t>
  </si>
  <si>
    <t>Disponible</t>
  </si>
  <si>
    <t>5 - Trailer habitacional Aluvional = Ok</t>
  </si>
  <si>
    <t>6- Trailer habitacional p/eventuales = No Ok - se puede alquilar en caso de solicitud</t>
  </si>
  <si>
    <t xml:space="preserve">MOVIL </t>
  </si>
  <si>
    <t>LOGISTICA</t>
  </si>
  <si>
    <t>Kit amortiguadores delanteros</t>
  </si>
  <si>
    <t>Kit amortiguadores traseros</t>
  </si>
  <si>
    <t>Starlink Mini (kit de antena) + soporte</t>
  </si>
  <si>
    <t>Starlink abonon 50GB empresa</t>
  </si>
  <si>
    <t>*Moviles para traslado de personal (Cambio de guardia) = ok</t>
  </si>
  <si>
    <t xml:space="preserve">*Color celeste = costos ya incluidos en moviles de cambio de guardia </t>
  </si>
  <si>
    <t>*Exclusividad de 3 moviles fijos en proyecto = No ok (se deben adquirir en su totalidad)</t>
  </si>
  <si>
    <t>*Para los 3 moviles nuevos, se debe tener en cuenta el costo pintado en celeste</t>
  </si>
  <si>
    <t>Starlink Mini (kit de antena) + soporte para ambulancia</t>
  </si>
  <si>
    <t xml:space="preserve">1 - Reemplazar movil Aguila Mora </t>
  </si>
  <si>
    <t>2 - Incorporar un movil a la operacion de Aguada Federal</t>
  </si>
  <si>
    <t>3 - Incoporar un movil a la operacion de Aluvional</t>
  </si>
  <si>
    <t>4 - Bateria 1 (Campus) movil ok en servicio</t>
  </si>
  <si>
    <t>5 - Bateria 3 movil ok en servicio</t>
  </si>
  <si>
    <t>6 - Bateria 4 movil ok en servicio</t>
  </si>
  <si>
    <t>*Color celeste, insumos ya adquiridos</t>
  </si>
  <si>
    <t>*Color verde, respuestos o insumos necesarios para el mantenimiento del movil prorrateados segun plan de mantenimiento y/o tiempo de contrato</t>
  </si>
  <si>
    <t>*Los moviles OK que ya estan en servicio, tienen antena de starlink y soporte colocado + abono mensual de 50GB</t>
  </si>
  <si>
    <t>id</t>
  </si>
  <si>
    <t>hoja_origen</t>
  </si>
  <si>
    <t>seccion</t>
  </si>
  <si>
    <t>categoria</t>
  </si>
  <si>
    <t>subcategoria</t>
  </si>
  <si>
    <t>item</t>
  </si>
  <si>
    <t>proveedor</t>
  </si>
  <si>
    <t>qty</t>
  </si>
  <si>
    <t>valor_unitario</t>
  </si>
  <si>
    <t>valor_compra_total</t>
  </si>
  <si>
    <t>inversion_inicial</t>
  </si>
  <si>
    <t>meses_amortizacion</t>
  </si>
  <si>
    <t>valor_mensual</t>
  </si>
  <si>
    <t>tipo_registro</t>
  </si>
  <si>
    <t>observaciones</t>
  </si>
  <si>
    <t>Ambulancias</t>
  </si>
  <si>
    <t>Móvil UTIM (Ambulancia)</t>
  </si>
  <si>
    <t>Móvil</t>
  </si>
  <si>
    <t>Amortizacion - Movil US</t>
  </si>
  <si>
    <t>COSTO</t>
  </si>
  <si>
    <t>Sifuentes 25/8 - Carrozado $39.349.166 + cabina simple $43.231.000 + patentamiento $1.672.716,49</t>
  </si>
  <si>
    <t>Repuestos - Indicadores de torque</t>
  </si>
  <si>
    <t>Repuestos - Kit de seguridad</t>
  </si>
  <si>
    <t>Repuestos - Cadenas</t>
  </si>
  <si>
    <t>Repuestos - Plaquetas perimetrales</t>
  </si>
  <si>
    <t>Repuestos - Actuador de turbo</t>
  </si>
  <si>
    <t>Repuestos - Escobillas</t>
  </si>
  <si>
    <t>Repuestos - Burletes habitáculo trasero</t>
  </si>
  <si>
    <t>Repuestos - Carga aire acondicionado</t>
  </si>
  <si>
    <t>Repuestos - Correa auxiliar + tensores</t>
  </si>
  <si>
    <t>Repuestos - Recarga matafuego 1kg</t>
  </si>
  <si>
    <t>Repuestos - Recarga matafuego 2,5kg</t>
  </si>
  <si>
    <t>Cubiertas (x6)</t>
  </si>
  <si>
    <t>Alineación, balanceo + rotación</t>
  </si>
  <si>
    <t>VTV</t>
  </si>
  <si>
    <t>Service</t>
  </si>
  <si>
    <t>Cambio de baterías</t>
  </si>
  <si>
    <t>Cambio batería habitáculo trasero</t>
  </si>
  <si>
    <t>Frenos, revisión y cambio de pastillas</t>
  </si>
  <si>
    <t>Tacógrafos / Instalación</t>
  </si>
  <si>
    <t>Starlink Mini (kit antena) + soporte</t>
  </si>
  <si>
    <t>Starlink abono 50GB empresa</t>
  </si>
  <si>
    <t>Precio 29/04/2026 - Lt infinia diesel $2520</t>
  </si>
  <si>
    <t>Telefonía</t>
  </si>
  <si>
    <t>Ver con logística</t>
  </si>
  <si>
    <t>EPP personal mameluco ignífugo</t>
  </si>
  <si>
    <t>Ver con compras</t>
  </si>
  <si>
    <t>Radio VHF + Antena</t>
  </si>
  <si>
    <t>Agregar cotización de la radio</t>
  </si>
  <si>
    <t>NOTA</t>
  </si>
  <si>
    <t>En caso de ser adjudicados con la licitación:</t>
  </si>
  <si>
    <t>1 - Reemplazar móvil Águila Mora (Disponible)</t>
  </si>
  <si>
    <t>2 - Incorporar un móvil a la operación de Aguada Federal (Disponible)</t>
  </si>
  <si>
    <t>3 - Incorporar un móvil a la operación de Aluvional (Disponible)</t>
  </si>
  <si>
    <t>4 - Batería 1 (Campus) móvil ok en servicio</t>
  </si>
  <si>
    <t>5 - Batería 3 móvil ok en servicio</t>
  </si>
  <si>
    <t>6 - Batería 4 móvil ok en servicio</t>
  </si>
  <si>
    <t>Color celeste: insumos ya adquiridos</t>
  </si>
  <si>
    <t>Color verde: repuestos o insumos necesarios para mantenimiento prorrateados</t>
  </si>
  <si>
    <t>Los móviles OK ya en servicio tienen antena Starlink + soporte + abono 50GB</t>
  </si>
  <si>
    <t>Logistica</t>
  </si>
  <si>
    <t>Móvil Logística</t>
  </si>
  <si>
    <t>Logística</t>
  </si>
  <si>
    <t>Vehículo 4x4 DC</t>
  </si>
  <si>
    <t>Ranger XL 4x4 2.0 Diesel valor 29/04 - Toyota Hilux 4x4 DX $57.769.000</t>
  </si>
  <si>
    <t>Repuestos - Kit de cadenas</t>
  </si>
  <si>
    <t>1 vez al comprar el móvil</t>
  </si>
  <si>
    <t>Repuestos - Manguera de turbo (juego)</t>
  </si>
  <si>
    <t>1 vez c/2 años x preventivo</t>
  </si>
  <si>
    <t>Repuestos - Lámparas</t>
  </si>
  <si>
    <t>2 lámparas por trimestre</t>
  </si>
  <si>
    <t>Repuestos - Correa auxiliar</t>
  </si>
  <si>
    <t>Valor Toyota - Ranger $168.000</t>
  </si>
  <si>
    <t>1 vez x año</t>
  </si>
  <si>
    <t>Repuestos - Recarga matafuego 5kg</t>
  </si>
  <si>
    <t>Cubiertas (2 v/año)</t>
  </si>
  <si>
    <t>2 veces x año</t>
  </si>
  <si>
    <t>Alineación, balanceo + rotación (2 v/año)</t>
  </si>
  <si>
    <t>Valor Toyota (c/2 meses) - Ranger $597.000</t>
  </si>
  <si>
    <t>1 vez c/2 años</t>
  </si>
  <si>
    <t>Frenos, revisión y cambio pastillas (2 v/año)</t>
  </si>
  <si>
    <t>Ver con Seba Garutti - Lt infinia diesel $2520</t>
  </si>
  <si>
    <t>Botiquín de primeros auxilios</t>
  </si>
  <si>
    <t>Agregar cotización</t>
  </si>
  <si>
    <t>Ver con Facu</t>
  </si>
  <si>
    <t>TOTAL Logística</t>
  </si>
  <si>
    <t>Incidencia 5% = $82.066,64</t>
  </si>
  <si>
    <t>Móviles para traslado de personal (Cambio de guardia) = ok</t>
  </si>
  <si>
    <t>Color celeste: costos ya incluidos en móviles de cambio de guardia</t>
  </si>
  <si>
    <t>Exclusividad de 3 móviles fijos en proyecto = No ok (adquirir totalidad)</t>
  </si>
  <si>
    <t>Para los 3 móviles nuevos considerar costo pintado en celeste</t>
  </si>
  <si>
    <t>Trailers - Infraestructura</t>
  </si>
  <si>
    <t>Trailer</t>
  </si>
  <si>
    <t>Infraestructura</t>
  </si>
  <si>
    <t>Amortización Trailer Enfermería</t>
  </si>
  <si>
    <t>CYE 06/5/26 - Fijos - Sin electromedicina</t>
  </si>
  <si>
    <t>Amortización Trailer Habitacional</t>
  </si>
  <si>
    <t>CYE 06/5/26 - Fijos - Completo con cama</t>
  </si>
  <si>
    <t>Alquiler Trailer Enfermería</t>
  </si>
  <si>
    <t>CYE o PEISAS 29/4/26 - Eventual</t>
  </si>
  <si>
    <t>Alquiler Trailer Habitacional</t>
  </si>
  <si>
    <t>Abono por 500GB mensuales</t>
  </si>
  <si>
    <t>Materiales - Garrafa Gas R410 (c/4 trailers)</t>
  </si>
  <si>
    <t>Garrafa $305.000 al 30/04/26</t>
  </si>
  <si>
    <t>Grifería shock room, baño, oficina</t>
  </si>
  <si>
    <t>Valor metro $3300</t>
  </si>
  <si>
    <t>Materiales - Insumos de ferretería</t>
  </si>
  <si>
    <t>Termotanque 40 Lts</t>
  </si>
  <si>
    <t>Anafe</t>
  </si>
  <si>
    <t>1 completo por año</t>
  </si>
  <si>
    <t>Luces de emergencia x3</t>
  </si>
  <si>
    <t>Trailers - Equipamiento Unidad Sanitaria</t>
  </si>
  <si>
    <t>Equipamiento Sanitario</t>
  </si>
  <si>
    <t>Tubos de oxígeno 5 m³</t>
  </si>
  <si>
    <t>Tubos de oxígeno 1 m³</t>
  </si>
  <si>
    <t>Camillas con barandas desplazables de seguridad</t>
  </si>
  <si>
    <t>Cubrecamillas descartables</t>
  </si>
  <si>
    <t>Mantas de lana</t>
  </si>
  <si>
    <t>Tablas rígidas Iron Duck con inmovilizador latero-cervical + 5 cinturones</t>
  </si>
  <si>
    <t>Collares Filadelfia Laerdal/Phillil (5,25 / 4,25 / 3,25)</t>
  </si>
  <si>
    <t>Férulas miembro superior e inferior (neumáticas y rígidas)</t>
  </si>
  <si>
    <t>Chalecos de extricación Ferno Ked</t>
  </si>
  <si>
    <t>Máscaras O2-terapia con reservorio</t>
  </si>
  <si>
    <t>Set de 4 tubos intubación endotraqueal</t>
  </si>
  <si>
    <t>Sets de cánulas de Mayo</t>
  </si>
  <si>
    <t>Pinza Macgill</t>
  </si>
  <si>
    <t>Juego de Máscaras Laríngeas (4 medidas)</t>
  </si>
  <si>
    <t>Kit de vía central</t>
  </si>
  <si>
    <t>Kit de punción pericárdica</t>
  </si>
  <si>
    <t>Mordillos de fijación de tubos endotraqueales</t>
  </si>
  <si>
    <t>Tijera multipropósito</t>
  </si>
  <si>
    <t>Linterna</t>
  </si>
  <si>
    <t>Caja Guantes descartables x100</t>
  </si>
  <si>
    <t>Bolso transporte primeros auxilios</t>
  </si>
  <si>
    <t>Mantas Burn Free chica</t>
  </si>
  <si>
    <t>Frazada común</t>
  </si>
  <si>
    <t>Frazada polar</t>
  </si>
  <si>
    <t>Descartadores material punzante</t>
  </si>
  <si>
    <t>Kit para quemaduras</t>
  </si>
  <si>
    <t>Platsul A pote 350 gr</t>
  </si>
  <si>
    <t>Steri-strip envase</t>
  </si>
  <si>
    <t>Termómetro</t>
  </si>
  <si>
    <t>TOTAL Equipamiento Sanitario</t>
  </si>
  <si>
    <t>Trailers - Mobiliario y elementos US</t>
  </si>
  <si>
    <t>Mobiliario US</t>
  </si>
  <si>
    <t>Carro de paro</t>
  </si>
  <si>
    <t>1 por US - Ema Cutuli 22/8</t>
  </si>
  <si>
    <t>Tubos de oxígeno 2 m³</t>
  </si>
  <si>
    <t>2 en la US y móvil ya viene con dos - Ema Cutuli 22/8</t>
  </si>
  <si>
    <t>Camillas con barandas desplazables</t>
  </si>
  <si>
    <t>Cesto residuos comunes</t>
  </si>
  <si>
    <t>Cesto residuos patológicos</t>
  </si>
  <si>
    <t>TOTAL Mobiliario</t>
  </si>
  <si>
    <t>Trailers - DTM Servicio Elías</t>
  </si>
  <si>
    <t>DTM</t>
  </si>
  <si>
    <t>Servicio Elías</t>
  </si>
  <si>
    <t>Valor Mar-Abr 2026</t>
  </si>
  <si>
    <t>Jornada 12hs con guinche</t>
  </si>
  <si>
    <t>Valor Mar-Abr 2026 - Si el camión está jornada completa en lugar indicado</t>
  </si>
  <si>
    <t>TOTAL DTM Servicio Elías</t>
  </si>
  <si>
    <t>Trailers - DTM Transvasco</t>
  </si>
  <si>
    <t>Transvasco</t>
  </si>
  <si>
    <t>Jornada 8hs con guinche (pernocte)</t>
  </si>
  <si>
    <t>TOTAL DTM Transvasco</t>
  </si>
  <si>
    <t>ENFERMERIAS:</t>
  </si>
  <si>
    <t>1 - Trailer enfermería Batería 3 = Ok en funcionamiento</t>
  </si>
  <si>
    <t>2 - Trailer enfermería Batería 4 = Ok en funcionamiento</t>
  </si>
  <si>
    <t>3 - Trailer enfermería Águila Mora = Ok en funcionamiento</t>
  </si>
  <si>
    <t>4 - Trailer enfermería Aguada Federal = No Ok - ADQUIRIR</t>
  </si>
  <si>
    <t>5 - Trailer enfermería Aluvional = No Ok - ADQUIRIR</t>
  </si>
  <si>
    <t>6 - Trailer enfermería p/eventuales = No Ok - ADQUIRIR o alquilar tipo company man</t>
  </si>
  <si>
    <t>7 - Abono Starlink incluye enfermería y habitacional</t>
  </si>
  <si>
    <t>HABITACIONAL:</t>
  </si>
  <si>
    <t>1 - Trailer habitacional Batería 3 = Ok en funcionamiento</t>
  </si>
  <si>
    <t>2 - Trailer habitacional Batería 4 = Ok en funcionamiento</t>
  </si>
  <si>
    <t>3 - Trailer habitacional Águila Mora = Ok en funcionamiento</t>
  </si>
  <si>
    <t>4 - Trailer Habitacional Aguada Federal = Ok (Disponible)</t>
  </si>
  <si>
    <t>5 - Trailer habitacional Aluvional = Ok (Disponible)</t>
  </si>
  <si>
    <t>6 - Trailer habitacional p/eventuales = No Ok - alquilar en caso de solicitud</t>
  </si>
  <si>
    <t>Detalle y consultas</t>
  </si>
  <si>
    <t>Consultas</t>
  </si>
  <si>
    <t>CONSULTA</t>
  </si>
  <si>
    <t>Radio VHF y frecuencia en ambulancia: ¿es provista por la operadora?</t>
  </si>
  <si>
    <t>Radio VHF y frecuencia en vehículos de logística en sitio: ¿es provista por la operadora?</t>
  </si>
  <si>
    <t>En caso de ser provisto por la contratista, ¿qué marca de radio y empresa para programación de frecuencia están utilizando?</t>
  </si>
  <si>
    <t>Los vehículos de logística, ¿también llevan Starlink?</t>
  </si>
  <si>
    <t>¿3 vehículos de logística disponibles en sitio? ¿o 1 en sitio + 2 de traslado de personal?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</si>
</sst>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theme="1"/>
      <name val="Times New Roman"/>
      <family val="1"/>
    </font>
    <font>
      <sz val="10"/>
      <color rgb="FF000000"/>
      <name val="Calibri"/>
      <family val="2"/>
    </font>
    <font>
      <b/>
      <sz val="10"/>
      <color theme="1"/>
      <name val="Arial"/>
    </font>
    <font>
      <i/>
      <sz val="10"/>
      <color theme="1"/>
      <name val="Arial"/>
    </font>
    <font>
      <b/>
      <sz val="11"/>
      <color rgb="FF000000"/>
      <name val="Calibri"/>
    </font>
    <font>
      <sz val="10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0D8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9">
    <xf numFmtId="0" fontId="0" fillId="0" borderId="0" xfId="0"/>
    <xf numFmtId="0" fontId="2" fillId="0" borderId="0" xfId="0" applyFont="1" applyAlignment="1">
      <alignment horizontal="center"/>
    </xf>
    <xf numFmtId="44" fontId="0" fillId="0" borderId="4" xfId="1" applyFont="1" applyBorder="1"/>
    <xf numFmtId="0" fontId="0" fillId="0" borderId="4" xfId="0" applyBorder="1"/>
    <xf numFmtId="44" fontId="0" fillId="0" borderId="0" xfId="1" applyFont="1" applyFill="1"/>
    <xf numFmtId="44" fontId="0" fillId="0" borderId="4" xfId="0" applyNumberFormat="1" applyBorder="1"/>
    <xf numFmtId="0" fontId="0" fillId="3" borderId="4" xfId="0" applyFill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44" fontId="0" fillId="3" borderId="4" xfId="1" applyFont="1" applyFill="1" applyBorder="1"/>
    <xf numFmtId="44" fontId="0" fillId="3" borderId="4" xfId="0" applyNumberFormat="1" applyFill="1" applyBorder="1"/>
    <xf numFmtId="0" fontId="0" fillId="0" borderId="6" xfId="0" applyBorder="1"/>
    <xf numFmtId="44" fontId="0" fillId="4" borderId="6" xfId="1" applyFont="1" applyFill="1" applyBorder="1"/>
    <xf numFmtId="0" fontId="0" fillId="4" borderId="6" xfId="0" applyFill="1" applyBorder="1"/>
    <xf numFmtId="0" fontId="0" fillId="3" borderId="6" xfId="0" applyFill="1" applyBorder="1" applyAlignment="1">
      <alignment horizontal="center"/>
    </xf>
    <xf numFmtId="44" fontId="0" fillId="0" borderId="6" xfId="1" applyFont="1" applyBorder="1"/>
    <xf numFmtId="44" fontId="0" fillId="0" borderId="6" xfId="0" applyNumberFormat="1" applyBorder="1"/>
    <xf numFmtId="44" fontId="0" fillId="3" borderId="0" xfId="1" applyFont="1" applyFill="1" applyBorder="1"/>
    <xf numFmtId="0" fontId="0" fillId="0" borderId="0" xfId="0" applyAlignment="1">
      <alignment horizontal="center"/>
    </xf>
    <xf numFmtId="44" fontId="0" fillId="0" borderId="0" xfId="1" applyFont="1" applyBorder="1"/>
    <xf numFmtId="44" fontId="0" fillId="0" borderId="0" xfId="0" applyNumberFormat="1"/>
    <xf numFmtId="0" fontId="0" fillId="0" borderId="8" xfId="0" applyBorder="1"/>
    <xf numFmtId="0" fontId="3" fillId="0" borderId="8" xfId="0" applyFont="1" applyBorder="1" applyAlignment="1">
      <alignment horizontal="center"/>
    </xf>
    <xf numFmtId="44" fontId="0" fillId="3" borderId="6" xfId="1" applyFont="1" applyFill="1" applyBorder="1"/>
    <xf numFmtId="44" fontId="0" fillId="3" borderId="6" xfId="0" applyNumberFormat="1" applyFill="1" applyBorder="1"/>
    <xf numFmtId="44" fontId="3" fillId="2" borderId="0" xfId="0" applyNumberFormat="1" applyFont="1" applyFill="1"/>
    <xf numFmtId="44" fontId="3" fillId="2" borderId="0" xfId="0" applyNumberFormat="1" applyFont="1" applyFill="1" applyAlignment="1">
      <alignment horizontal="center"/>
    </xf>
    <xf numFmtId="44" fontId="3" fillId="2" borderId="0" xfId="0" applyNumberFormat="1" applyFont="1" applyFill="1" applyAlignment="1">
      <alignment horizontal="right"/>
    </xf>
    <xf numFmtId="9" fontId="3" fillId="2" borderId="0" xfId="2" applyFont="1" applyFill="1" applyAlignment="1">
      <alignment horizontal="center"/>
    </xf>
    <xf numFmtId="44" fontId="3" fillId="2" borderId="0" xfId="1" applyFont="1" applyFill="1" applyAlignment="1">
      <alignment horizontal="center"/>
    </xf>
    <xf numFmtId="44" fontId="3" fillId="0" borderId="0" xfId="0" applyNumberFormat="1" applyFont="1" applyAlignment="1">
      <alignment horizontal="center"/>
    </xf>
    <xf numFmtId="44" fontId="3" fillId="0" borderId="0" xfId="0" applyNumberFormat="1" applyFont="1"/>
    <xf numFmtId="0" fontId="3" fillId="0" borderId="6" xfId="0" applyFont="1" applyBorder="1" applyAlignment="1">
      <alignment horizontal="center"/>
    </xf>
    <xf numFmtId="0" fontId="4" fillId="0" borderId="0" xfId="0" applyFont="1"/>
    <xf numFmtId="0" fontId="0" fillId="3" borderId="0" xfId="0" applyFill="1" applyAlignment="1">
      <alignment horizontal="center"/>
    </xf>
    <xf numFmtId="0" fontId="3" fillId="0" borderId="5" xfId="0" applyFont="1" applyBorder="1" applyAlignment="1">
      <alignment horizontal="left"/>
    </xf>
    <xf numFmtId="0" fontId="0" fillId="3" borderId="10" xfId="0" applyFill="1" applyBorder="1"/>
    <xf numFmtId="0" fontId="0" fillId="0" borderId="10" xfId="0" applyBorder="1"/>
    <xf numFmtId="44" fontId="0" fillId="0" borderId="10" xfId="0" applyNumberFormat="1" applyBorder="1"/>
    <xf numFmtId="0" fontId="5" fillId="0" borderId="11" xfId="0" applyFont="1" applyBorder="1" applyAlignment="1">
      <alignment horizontal="left"/>
    </xf>
    <xf numFmtId="0" fontId="2" fillId="4" borderId="4" xfId="0" applyFont="1" applyFill="1" applyBorder="1"/>
    <xf numFmtId="44" fontId="0" fillId="4" borderId="4" xfId="1" applyFont="1" applyFill="1" applyBorder="1"/>
    <xf numFmtId="0" fontId="2" fillId="0" borderId="5" xfId="0" applyFont="1" applyBorder="1" applyAlignment="1">
      <alignment horizontal="center"/>
    </xf>
    <xf numFmtId="44" fontId="2" fillId="0" borderId="5" xfId="1" applyFont="1" applyBorder="1"/>
    <xf numFmtId="44" fontId="2" fillId="0" borderId="0" xfId="1" applyFont="1" applyBorder="1"/>
    <xf numFmtId="44" fontId="0" fillId="0" borderId="8" xfId="1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44" fontId="0" fillId="0" borderId="16" xfId="1" applyFont="1" applyBorder="1"/>
    <xf numFmtId="0" fontId="0" fillId="0" borderId="17" xfId="0" applyBorder="1"/>
    <xf numFmtId="0" fontId="0" fillId="0" borderId="19" xfId="0" applyBorder="1"/>
    <xf numFmtId="44" fontId="0" fillId="0" borderId="22" xfId="1" applyFont="1" applyBorder="1"/>
    <xf numFmtId="0" fontId="0" fillId="0" borderId="23" xfId="0" applyBorder="1"/>
    <xf numFmtId="17" fontId="0" fillId="0" borderId="0" xfId="0" applyNumberFormat="1" applyAlignment="1">
      <alignment horizontal="center"/>
    </xf>
    <xf numFmtId="44" fontId="2" fillId="0" borderId="24" xfId="1" applyFont="1" applyBorder="1"/>
    <xf numFmtId="0" fontId="7" fillId="0" borderId="0" xfId="0" applyFont="1"/>
    <xf numFmtId="0" fontId="6" fillId="0" borderId="0" xfId="0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0" fillId="7" borderId="4" xfId="0" applyFill="1" applyBorder="1"/>
    <xf numFmtId="44" fontId="0" fillId="7" borderId="4" xfId="1" applyFont="1" applyFill="1" applyBorder="1"/>
    <xf numFmtId="0" fontId="0" fillId="7" borderId="4" xfId="0" applyFill="1" applyBorder="1" applyAlignment="1">
      <alignment horizontal="center"/>
    </xf>
    <xf numFmtId="0" fontId="0" fillId="8" borderId="4" xfId="0" applyFill="1" applyBorder="1"/>
    <xf numFmtId="44" fontId="0" fillId="8" borderId="4" xfId="1" applyFont="1" applyFill="1" applyBorder="1"/>
    <xf numFmtId="0" fontId="0" fillId="8" borderId="4" xfId="0" applyFill="1" applyBorder="1" applyAlignment="1">
      <alignment horizontal="center"/>
    </xf>
    <xf numFmtId="0" fontId="0" fillId="8" borderId="6" xfId="0" applyFill="1" applyBorder="1"/>
    <xf numFmtId="44" fontId="0" fillId="8" borderId="6" xfId="1" applyFont="1" applyFill="1" applyBorder="1"/>
    <xf numFmtId="0" fontId="0" fillId="8" borderId="6" xfId="0" applyFill="1" applyBorder="1" applyAlignment="1">
      <alignment horizontal="center"/>
    </xf>
    <xf numFmtId="44" fontId="0" fillId="8" borderId="6" xfId="0" applyNumberFormat="1" applyFill="1" applyBorder="1"/>
    <xf numFmtId="0" fontId="0" fillId="8" borderId="25" xfId="0" applyFill="1" applyBorder="1"/>
    <xf numFmtId="0" fontId="0" fillId="8" borderId="15" xfId="0" applyFill="1" applyBorder="1"/>
    <xf numFmtId="0" fontId="0" fillId="8" borderId="16" xfId="0" applyFill="1" applyBorder="1"/>
    <xf numFmtId="17" fontId="0" fillId="8" borderId="16" xfId="0" applyNumberFormat="1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44" fontId="0" fillId="8" borderId="16" xfId="1" applyFont="1" applyFill="1" applyBorder="1"/>
    <xf numFmtId="0" fontId="0" fillId="8" borderId="18" xfId="0" applyFill="1" applyBorder="1"/>
    <xf numFmtId="0" fontId="0" fillId="8" borderId="20" xfId="0" applyFill="1" applyBorder="1"/>
    <xf numFmtId="0" fontId="0" fillId="8" borderId="8" xfId="0" applyFill="1" applyBorder="1" applyAlignment="1">
      <alignment horizontal="center"/>
    </xf>
    <xf numFmtId="44" fontId="0" fillId="8" borderId="8" xfId="1" applyFont="1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2" xfId="0" applyFill="1" applyBorder="1" applyAlignment="1">
      <alignment horizontal="center"/>
    </xf>
    <xf numFmtId="44" fontId="0" fillId="8" borderId="22" xfId="1" applyFont="1" applyFill="1" applyBorder="1"/>
    <xf numFmtId="0" fontId="0" fillId="3" borderId="6" xfId="0" applyFill="1" applyBorder="1"/>
    <xf numFmtId="44" fontId="0" fillId="8" borderId="25" xfId="1" applyFont="1" applyFill="1" applyBorder="1"/>
    <xf numFmtId="0" fontId="0" fillId="8" borderId="25" xfId="0" applyFill="1" applyBorder="1" applyAlignment="1">
      <alignment horizontal="center"/>
    </xf>
    <xf numFmtId="44" fontId="3" fillId="2" borderId="5" xfId="1" applyFont="1" applyFill="1" applyBorder="1" applyAlignment="1">
      <alignment horizontal="center"/>
    </xf>
    <xf numFmtId="44" fontId="0" fillId="3" borderId="25" xfId="1" applyFont="1" applyFill="1" applyBorder="1"/>
    <xf numFmtId="44" fontId="0" fillId="0" borderId="25" xfId="0" applyNumberFormat="1" applyBorder="1"/>
    <xf numFmtId="0" fontId="0" fillId="0" borderId="25" xfId="0" applyBorder="1"/>
    <xf numFmtId="0" fontId="0" fillId="4" borderId="25" xfId="0" applyFill="1" applyBorder="1"/>
    <xf numFmtId="0" fontId="0" fillId="3" borderId="25" xfId="0" applyFill="1" applyBorder="1" applyAlignment="1">
      <alignment horizontal="center"/>
    </xf>
    <xf numFmtId="44" fontId="0" fillId="0" borderId="25" xfId="1" applyFont="1" applyBorder="1"/>
    <xf numFmtId="0" fontId="0" fillId="3" borderId="25" xfId="0" applyFill="1" applyBorder="1"/>
    <xf numFmtId="44" fontId="0" fillId="4" borderId="25" xfId="1" applyFont="1" applyFill="1" applyBorder="1"/>
    <xf numFmtId="8" fontId="0" fillId="8" borderId="16" xfId="1" applyNumberFormat="1" applyFont="1" applyFill="1" applyBorder="1"/>
    <xf numFmtId="8" fontId="0" fillId="8" borderId="4" xfId="1" applyNumberFormat="1" applyFont="1" applyFill="1" applyBorder="1"/>
    <xf numFmtId="8" fontId="8" fillId="8" borderId="26" xfId="0" applyNumberFormat="1" applyFont="1" applyFill="1" applyBorder="1" applyAlignment="1">
      <alignment wrapText="1"/>
    </xf>
    <xf numFmtId="0" fontId="9" fillId="0" borderId="5" xfId="0" applyFont="1" applyBorder="1" applyAlignment="1">
      <alignment horizontal="center"/>
    </xf>
    <xf numFmtId="44" fontId="0" fillId="0" borderId="0" xfId="1" applyFont="1"/>
    <xf numFmtId="44" fontId="0" fillId="3" borderId="0" xfId="1" applyFont="1" applyFill="1"/>
    <xf numFmtId="0" fontId="9" fillId="0" borderId="8" xfId="0" applyFont="1" applyBorder="1" applyAlignment="1">
      <alignment horizontal="center"/>
    </xf>
    <xf numFmtId="44" fontId="9" fillId="2" borderId="0" xfId="0" applyNumberFormat="1" applyFont="1" applyFill="1"/>
    <xf numFmtId="44" fontId="9" fillId="2" borderId="0" xfId="0" applyNumberFormat="1" applyFont="1" applyFill="1" applyAlignment="1">
      <alignment horizontal="center"/>
    </xf>
    <xf numFmtId="44" fontId="9" fillId="2" borderId="0" xfId="0" applyNumberFormat="1" applyFont="1" applyFill="1" applyAlignment="1">
      <alignment horizontal="right"/>
    </xf>
    <xf numFmtId="9" fontId="9" fillId="2" borderId="0" xfId="2" applyFont="1" applyFill="1" applyAlignment="1">
      <alignment horizontal="center"/>
    </xf>
    <xf numFmtId="44" fontId="9" fillId="2" borderId="0" xfId="1" applyFont="1" applyFill="1" applyAlignment="1">
      <alignment horizontal="center"/>
    </xf>
    <xf numFmtId="44" fontId="9" fillId="0" borderId="0" xfId="0" applyNumberFormat="1" applyFont="1" applyAlignment="1">
      <alignment horizontal="center"/>
    </xf>
    <xf numFmtId="44" fontId="9" fillId="0" borderId="0" xfId="0" applyNumberFormat="1" applyFont="1"/>
    <xf numFmtId="0" fontId="9" fillId="0" borderId="6" xfId="0" applyFont="1" applyBorder="1" applyAlignment="1">
      <alignment horizontal="center"/>
    </xf>
    <xf numFmtId="44" fontId="9" fillId="2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1" fillId="0" borderId="0" xfId="0" applyFont="1" applyAlignment="1">
      <alignment horizontal="right" vertical="center"/>
    </xf>
    <xf numFmtId="4" fontId="11" fillId="0" borderId="0" xfId="0" applyNumberFormat="1" applyFont="1" applyAlignment="1">
      <alignment horizontal="right" vertical="center"/>
    </xf>
    <xf numFmtId="8" fontId="12" fillId="8" borderId="26" xfId="0" applyNumberFormat="1" applyFont="1" applyFill="1" applyBorder="1" applyAlignment="1">
      <alignment wrapText="1"/>
    </xf>
    <xf numFmtId="0" fontId="0" fillId="9" borderId="4" xfId="0" applyFill="1" applyBorder="1"/>
    <xf numFmtId="44" fontId="0" fillId="9" borderId="4" xfId="1" applyFont="1" applyFill="1" applyBorder="1"/>
    <xf numFmtId="0" fontId="0" fillId="9" borderId="4" xfId="0" applyFill="1" applyBorder="1" applyAlignment="1">
      <alignment horizontal="center"/>
    </xf>
    <xf numFmtId="0" fontId="0" fillId="9" borderId="6" xfId="0" applyFill="1" applyBorder="1"/>
    <xf numFmtId="44" fontId="0" fillId="9" borderId="6" xfId="1" applyFont="1" applyFill="1" applyBorder="1"/>
    <xf numFmtId="44" fontId="0" fillId="9" borderId="6" xfId="0" applyNumberFormat="1" applyFill="1" applyBorder="1"/>
    <xf numFmtId="0" fontId="0" fillId="9" borderId="6" xfId="0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4" fontId="0" fillId="0" borderId="0" xfId="0" applyNumberFormat="1"/>
    <xf numFmtId="1" fontId="0" fillId="0" borderId="0" xfId="0" applyNumberFormat="1"/>
  </cellXfs>
  <cellStyles count="4">
    <cellStyle name="Millares 3" xfId="3" xr:uid="{00000000-0005-0000-0000-000002000000}"/>
    <cellStyle name="Moneda" xfId="1" builtinId="4"/>
    <cellStyle name="Normal" xfId="0" builtinId="0"/>
    <cellStyle name="Porcentaje" xfId="2" builtinId="5"/>
  </cellStyles>
  <dxfs count="5">
    <dxf>
      <numFmt numFmtId="4" formatCode="#,##0.00"/>
    </dxf>
    <dxf>
      <numFmt numFmtId="1" formatCode="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0</xdr:row>
      <xdr:rowOff>0</xdr:rowOff>
    </xdr:from>
    <xdr:to>
      <xdr:col>18</xdr:col>
      <xdr:colOff>485776</xdr:colOff>
      <xdr:row>5</xdr:row>
      <xdr:rowOff>153520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2D31200-C912-400B-8E93-51C1B6F65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3800" y="847725"/>
          <a:ext cx="2276476" cy="1074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0</xdr:row>
      <xdr:rowOff>0</xdr:rowOff>
    </xdr:from>
    <xdr:to>
      <xdr:col>19</xdr:col>
      <xdr:colOff>333376</xdr:colOff>
      <xdr:row>5</xdr:row>
      <xdr:rowOff>105895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EFEF0F4-6990-4A8E-A69D-AC3377466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12125" y="0"/>
          <a:ext cx="2733676" cy="10583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0</xdr:row>
      <xdr:rowOff>0</xdr:rowOff>
    </xdr:from>
    <xdr:to>
      <xdr:col>19</xdr:col>
      <xdr:colOff>333376</xdr:colOff>
      <xdr:row>5</xdr:row>
      <xdr:rowOff>105895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5379396F-897B-44AA-873E-A2E5A299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12125" y="0"/>
          <a:ext cx="2733676" cy="10583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0</xdr:row>
      <xdr:rowOff>0</xdr:rowOff>
    </xdr:from>
    <xdr:to>
      <xdr:col>19</xdr:col>
      <xdr:colOff>333376</xdr:colOff>
      <xdr:row>5</xdr:row>
      <xdr:rowOff>105895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D00EBDB-7281-4938-A72F-B3F353B08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12125" y="0"/>
          <a:ext cx="2733676" cy="10583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valdebenito/Downloads/02%20Cotizaci&#243;n%20YPF-%2019Nov25.xlsx" TargetMode="External"/><Relationship Id="rId1" Type="http://schemas.openxmlformats.org/officeDocument/2006/relationships/externalLinkPath" Target="/Users/mvaldebenito/Downloads/02%20Cotizaci&#243;n%20YPF-%2019Nov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uevos%20Negocios/LICITACIONES%20OP%20COMP/02.%20PETR&#211;LEO/YPF/YPF%20VMOS/11%20-%20Licitaci&#243;n%2036m/03%20Cotizaci&#243;n/03%20ANEXO%20III%20-%20RI%20(MO%20URG%20Y%20EMER)%20-%20Original%20con%20precios%20entrega.xlsx" TargetMode="External"/><Relationship Id="rId1" Type="http://schemas.openxmlformats.org/officeDocument/2006/relationships/externalLinkPath" Target="/Nuevos%20Negocios/LICITACIONES%20OP%20COMP/02.%20PETR&#211;LEO/YPF/YPF%20VMOS/11%20-%20Licitaci&#243;n%2036m/03%20Cotizaci&#243;n/03%20ANEXO%20III%20-%20RI%20(MO%20URG%20Y%20EMER)%20-%20Original%20con%20precios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FERTA ECONOMICA"/>
      <sheetName val="COTIZACION"/>
      <sheetName val="Pendientes"/>
      <sheetName val="COSTOS"/>
      <sheetName val="Activos Unificados 6Nov25"/>
      <sheetName val="Arch Gral Mov OC 6Nov25"/>
      <sheetName val="Estructura Nov "/>
      <sheetName val="Estructura Salarial "/>
      <sheetName val="MO Detalle"/>
      <sheetName val="MO"/>
      <sheetName val="Gastos Operativos"/>
      <sheetName val="Residuos Patógen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ice"/>
      <sheetName val="Cuadros EFirma"/>
      <sheetName val="Información de Cabecera"/>
      <sheetName val="INMUEBLES EQUIPOS Y RODADOS"/>
      <sheetName val="MANO DE OBRA"/>
      <sheetName val="MATERIALES-INSUMOS"/>
      <sheetName val="COMB-LUB-NEUM-MANT"/>
      <sheetName val="RESUMEN"/>
      <sheetName val="APROPIACION A PRECIOS"/>
      <sheetName val="Análisis"/>
      <sheetName val="Analisis Ajustes"/>
      <sheetName val="Aplicación Indices"/>
      <sheetName val="Directos - Indirectos"/>
      <sheetName val="Validaciones"/>
      <sheetName val="Datos Indice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54BB01-C957-41D4-BCB1-46C2EE8A05C1}" name="TablaMantenimiento" displayName="TablaMantenimiento" ref="A1:O162" totalsRowShown="0">
  <autoFilter ref="A1:O162" xr:uid="{E254BB01-C957-41D4-BCB1-46C2EE8A05C1}"/>
  <tableColumns count="15">
    <tableColumn id="1" xr3:uid="{B128A45C-5A75-4C04-92B9-4AA306C6ACAB}" name="id"/>
    <tableColumn id="2" xr3:uid="{3F936F42-204A-4FC7-91F8-1AF13BD195B8}" name="hoja_origen"/>
    <tableColumn id="3" xr3:uid="{DE9CD5C3-650B-4DCA-9517-62DE5A0C3EFE}" name="seccion"/>
    <tableColumn id="4" xr3:uid="{11483CD9-F9E4-47FB-A155-F1BA3B6CA72C}" name="categoria"/>
    <tableColumn id="5" xr3:uid="{856B0D34-B2A1-4B74-BD41-D0A8F2AFD05F}" name="subcategoria"/>
    <tableColumn id="6" xr3:uid="{220CE044-384F-48F9-996D-65977ADAA8E3}" name="item"/>
    <tableColumn id="7" xr3:uid="{9219CBEA-9F7C-4119-9130-8978D7F8E27E}" name="proveedor"/>
    <tableColumn id="8" xr3:uid="{DDCC75AA-7228-4D89-92AB-246AF1AC9A47}" name="qty"/>
    <tableColumn id="9" xr3:uid="{E6570E90-4A34-468D-9AFE-6A4EFF2EF501}" name="valor_unitario" dataDxfId="4"/>
    <tableColumn id="10" xr3:uid="{F9A3CF44-D245-4BFA-9C20-0746D1D983FB}" name="valor_compra_total" dataDxfId="3"/>
    <tableColumn id="11" xr3:uid="{82E260A8-6490-4E4C-86D3-6C43B063A2E1}" name="inversion_inicial" dataDxfId="2"/>
    <tableColumn id="12" xr3:uid="{5A09C38E-3DE1-44F8-8164-0B83B6CC2C68}" name="meses_amortizacion" dataDxfId="1"/>
    <tableColumn id="13" xr3:uid="{367DE3EB-2E84-46FD-B4BF-0569C83E3198}" name="valor_mensual" dataDxfId="0"/>
    <tableColumn id="14" xr3:uid="{3A95822A-DD17-4BCC-AEF2-3DEDD62C9F9B}" name="tipo_registro"/>
    <tableColumn id="15" xr3:uid="{46B8ADF2-43AD-4604-B851-56449078EE07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B66094-08CD-4C8F-8CDA-647960271B6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864eb1a-0443-45f8-8629-b608ced5f68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opLeftCell="A10" zoomScale="80" zoomScaleNormal="80" workbookViewId="0">
      <selection activeCell="C15" sqref="C15"/>
    </sheetView>
  </sheetViews>
  <sheetFormatPr baseColWidth="10" defaultColWidth="11.453125" defaultRowHeight="14.5" outlineLevelRow="1" x14ac:dyDescent="0.35"/>
  <cols>
    <col min="1" max="1" width="15.7265625" customWidth="1"/>
    <col min="2" max="2" width="16.81640625" customWidth="1"/>
    <col min="3" max="3" width="50.1796875" customWidth="1"/>
    <col min="4" max="4" width="22.26953125" bestFit="1" customWidth="1"/>
    <col min="5" max="5" width="33.54296875" customWidth="1"/>
    <col min="6" max="6" width="17.81640625" bestFit="1" customWidth="1"/>
    <col min="7" max="7" width="19.54296875" customWidth="1"/>
    <col min="8" max="8" width="35.81640625" customWidth="1"/>
    <col min="9" max="10" width="25.81640625" bestFit="1" customWidth="1"/>
    <col min="11" max="11" width="13.453125" customWidth="1"/>
    <col min="12" max="12" width="2.1796875" customWidth="1"/>
    <col min="13" max="13" width="9.54296875" customWidth="1"/>
  </cols>
  <sheetData>
    <row r="1" spans="1:9" x14ac:dyDescent="0.35">
      <c r="C1" s="7"/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</row>
    <row r="2" spans="1:9" outlineLevel="1" x14ac:dyDescent="0.35">
      <c r="A2" s="3" t="s">
        <v>5</v>
      </c>
      <c r="B2" s="3" t="s">
        <v>6</v>
      </c>
      <c r="C2" s="59" t="s">
        <v>7</v>
      </c>
      <c r="D2" s="60">
        <f>39349166+43231000+1672716.49</f>
        <v>84252882.489999995</v>
      </c>
      <c r="E2" s="60">
        <f>D2</f>
        <v>84252882.489999995</v>
      </c>
      <c r="F2" s="61">
        <v>60</v>
      </c>
      <c r="G2" s="9">
        <f t="shared" ref="G2:G24" si="0">D2/F2</f>
        <v>1404214.7081666666</v>
      </c>
      <c r="H2" s="10" t="s">
        <v>8</v>
      </c>
    </row>
    <row r="3" spans="1:9" outlineLevel="1" x14ac:dyDescent="0.35">
      <c r="A3" s="3" t="s">
        <v>5</v>
      </c>
      <c r="B3" s="3" t="s">
        <v>6</v>
      </c>
      <c r="C3" s="62" t="s">
        <v>9</v>
      </c>
      <c r="D3" s="63">
        <v>10800</v>
      </c>
      <c r="E3" s="63"/>
      <c r="F3" s="64">
        <v>12</v>
      </c>
      <c r="G3" s="9">
        <f t="shared" si="0"/>
        <v>900</v>
      </c>
      <c r="H3" s="10"/>
    </row>
    <row r="4" spans="1:9" outlineLevel="1" x14ac:dyDescent="0.35">
      <c r="A4" s="3" t="s">
        <v>5</v>
      </c>
      <c r="B4" s="3" t="s">
        <v>6</v>
      </c>
      <c r="C4" s="62" t="s">
        <v>10</v>
      </c>
      <c r="D4" s="63">
        <v>73000</v>
      </c>
      <c r="E4" s="63"/>
      <c r="F4" s="64">
        <v>12</v>
      </c>
      <c r="G4" s="9">
        <f t="shared" si="0"/>
        <v>6083.333333333333</v>
      </c>
      <c r="H4" s="10"/>
    </row>
    <row r="5" spans="1:9" outlineLevel="1" x14ac:dyDescent="0.35">
      <c r="A5" s="3" t="s">
        <v>11</v>
      </c>
      <c r="B5" s="3" t="s">
        <v>6</v>
      </c>
      <c r="C5" s="62" t="s">
        <v>12</v>
      </c>
      <c r="D5" s="63">
        <v>179265</v>
      </c>
      <c r="E5" s="63"/>
      <c r="F5" s="64">
        <v>36</v>
      </c>
      <c r="G5" s="9">
        <f>(D5/F5)</f>
        <v>4979.583333333333</v>
      </c>
      <c r="H5" s="10"/>
    </row>
    <row r="6" spans="1:9" outlineLevel="1" x14ac:dyDescent="0.35">
      <c r="A6" s="3" t="s">
        <v>5</v>
      </c>
      <c r="B6" s="3" t="s">
        <v>6</v>
      </c>
      <c r="C6" s="62" t="s">
        <v>13</v>
      </c>
      <c r="D6" s="63">
        <v>390000</v>
      </c>
      <c r="E6" s="63"/>
      <c r="F6" s="64">
        <v>24</v>
      </c>
      <c r="G6" s="9">
        <f t="shared" si="0"/>
        <v>16250</v>
      </c>
      <c r="H6" s="10"/>
    </row>
    <row r="7" spans="1:9" outlineLevel="1" x14ac:dyDescent="0.35">
      <c r="A7" s="3" t="s">
        <v>5</v>
      </c>
      <c r="B7" s="3" t="s">
        <v>6</v>
      </c>
      <c r="C7" s="62" t="s">
        <v>14</v>
      </c>
      <c r="D7" s="63">
        <v>278000</v>
      </c>
      <c r="E7" s="63"/>
      <c r="F7" s="64">
        <v>12</v>
      </c>
      <c r="G7" s="9">
        <f t="shared" si="0"/>
        <v>23166.666666666668</v>
      </c>
      <c r="H7" s="10"/>
    </row>
    <row r="8" spans="1:9" outlineLevel="1" x14ac:dyDescent="0.35">
      <c r="A8" s="3" t="s">
        <v>5</v>
      </c>
      <c r="B8" s="3" t="s">
        <v>6</v>
      </c>
      <c r="C8" s="62" t="s">
        <v>15</v>
      </c>
      <c r="D8" s="63">
        <v>52893</v>
      </c>
      <c r="E8" s="63"/>
      <c r="F8" s="64">
        <v>12</v>
      </c>
      <c r="G8" s="9">
        <f t="shared" si="0"/>
        <v>4407.75</v>
      </c>
      <c r="H8" s="10"/>
    </row>
    <row r="9" spans="1:9" outlineLevel="1" x14ac:dyDescent="0.35">
      <c r="A9" s="3" t="s">
        <v>5</v>
      </c>
      <c r="B9" s="3" t="s">
        <v>6</v>
      </c>
      <c r="C9" s="62" t="s">
        <v>16</v>
      </c>
      <c r="D9" s="63">
        <v>71000</v>
      </c>
      <c r="E9" s="63"/>
      <c r="F9" s="64">
        <v>12</v>
      </c>
      <c r="G9" s="9">
        <f t="shared" si="0"/>
        <v>5916.666666666667</v>
      </c>
      <c r="H9" s="10"/>
    </row>
    <row r="10" spans="1:9" outlineLevel="1" x14ac:dyDescent="0.35">
      <c r="A10" s="3" t="s">
        <v>5</v>
      </c>
      <c r="B10" s="3" t="s">
        <v>6</v>
      </c>
      <c r="C10" s="62" t="s">
        <v>17</v>
      </c>
      <c r="D10" s="63">
        <v>236000</v>
      </c>
      <c r="E10" s="63"/>
      <c r="F10" s="64">
        <v>12</v>
      </c>
      <c r="G10" s="9">
        <f t="shared" si="0"/>
        <v>19666.666666666668</v>
      </c>
      <c r="H10" s="10"/>
    </row>
    <row r="11" spans="1:9" outlineLevel="1" x14ac:dyDescent="0.35">
      <c r="A11" s="3" t="s">
        <v>5</v>
      </c>
      <c r="B11" s="3" t="s">
        <v>6</v>
      </c>
      <c r="C11" s="62" t="s">
        <v>18</v>
      </c>
      <c r="D11" s="63">
        <v>180000</v>
      </c>
      <c r="E11" s="63"/>
      <c r="F11" s="64">
        <v>24</v>
      </c>
      <c r="G11" s="9">
        <f t="shared" si="0"/>
        <v>7500</v>
      </c>
      <c r="H11" s="10"/>
    </row>
    <row r="12" spans="1:9" outlineLevel="1" x14ac:dyDescent="0.35">
      <c r="A12" s="3" t="s">
        <v>5</v>
      </c>
      <c r="B12" s="3" t="s">
        <v>6</v>
      </c>
      <c r="C12" s="62" t="s">
        <v>19</v>
      </c>
      <c r="D12" s="63">
        <v>19500</v>
      </c>
      <c r="E12" s="63"/>
      <c r="F12" s="64">
        <v>12</v>
      </c>
      <c r="G12" s="9">
        <f t="shared" si="0"/>
        <v>1625</v>
      </c>
      <c r="H12" s="10"/>
    </row>
    <row r="13" spans="1:9" outlineLevel="1" x14ac:dyDescent="0.35">
      <c r="A13" s="3" t="s">
        <v>5</v>
      </c>
      <c r="B13" s="3" t="s">
        <v>6</v>
      </c>
      <c r="C13" s="62" t="s">
        <v>20</v>
      </c>
      <c r="D13" s="63">
        <v>22500</v>
      </c>
      <c r="E13" s="63"/>
      <c r="F13" s="64">
        <v>12</v>
      </c>
      <c r="G13" s="9">
        <f t="shared" si="0"/>
        <v>1875</v>
      </c>
      <c r="H13" s="10"/>
    </row>
    <row r="14" spans="1:9" outlineLevel="1" x14ac:dyDescent="0.35">
      <c r="A14" s="3" t="s">
        <v>5</v>
      </c>
      <c r="B14" s="3" t="s">
        <v>6</v>
      </c>
      <c r="C14" s="62" t="s">
        <v>21</v>
      </c>
      <c r="D14" s="63">
        <v>1500000</v>
      </c>
      <c r="E14" s="63"/>
      <c r="F14" s="64">
        <v>36</v>
      </c>
      <c r="G14" s="9">
        <f t="shared" si="0"/>
        <v>41666.666666666664</v>
      </c>
      <c r="H14" s="10" t="s">
        <v>22</v>
      </c>
      <c r="I14" t="s">
        <v>23</v>
      </c>
    </row>
    <row r="15" spans="1:9" outlineLevel="1" x14ac:dyDescent="0.35">
      <c r="A15" s="3" t="s">
        <v>5</v>
      </c>
      <c r="B15" s="3" t="s">
        <v>6</v>
      </c>
      <c r="C15" s="62" t="s">
        <v>24</v>
      </c>
      <c r="D15" s="63">
        <v>166239</v>
      </c>
      <c r="E15" s="63"/>
      <c r="F15" s="64">
        <v>12</v>
      </c>
      <c r="G15" s="9">
        <f t="shared" si="0"/>
        <v>13853.25</v>
      </c>
      <c r="H15" s="10"/>
    </row>
    <row r="16" spans="1:9" outlineLevel="1" x14ac:dyDescent="0.35">
      <c r="A16" s="3" t="s">
        <v>5</v>
      </c>
      <c r="B16" s="3" t="s">
        <v>6</v>
      </c>
      <c r="C16" s="62" t="s">
        <v>25</v>
      </c>
      <c r="D16" s="63">
        <v>208500</v>
      </c>
      <c r="E16" s="63">
        <f>D16</f>
        <v>208500</v>
      </c>
      <c r="F16" s="64">
        <v>12</v>
      </c>
      <c r="G16" s="9">
        <f t="shared" si="0"/>
        <v>17375</v>
      </c>
      <c r="H16" s="10"/>
    </row>
    <row r="17" spans="1:11" outlineLevel="1" x14ac:dyDescent="0.35">
      <c r="A17" s="3" t="s">
        <v>5</v>
      </c>
      <c r="B17" s="3" t="s">
        <v>6</v>
      </c>
      <c r="C17" s="62" t="s">
        <v>26</v>
      </c>
      <c r="D17" s="63">
        <v>391000</v>
      </c>
      <c r="E17" s="63"/>
      <c r="F17" s="64">
        <v>12</v>
      </c>
      <c r="G17" s="9">
        <f t="shared" si="0"/>
        <v>32583.333333333332</v>
      </c>
      <c r="H17" s="10"/>
    </row>
    <row r="18" spans="1:11" outlineLevel="1" x14ac:dyDescent="0.35">
      <c r="A18" s="3" t="s">
        <v>5</v>
      </c>
      <c r="B18" s="3" t="s">
        <v>6</v>
      </c>
      <c r="C18" s="62" t="s">
        <v>27</v>
      </c>
      <c r="D18" s="63">
        <v>140000</v>
      </c>
      <c r="E18" s="63"/>
      <c r="F18" s="64">
        <v>24</v>
      </c>
      <c r="G18" s="9">
        <f t="shared" si="0"/>
        <v>5833.333333333333</v>
      </c>
      <c r="H18" s="10"/>
    </row>
    <row r="19" spans="1:11" outlineLevel="1" x14ac:dyDescent="0.35">
      <c r="A19" s="3" t="s">
        <v>5</v>
      </c>
      <c r="B19" s="3" t="s">
        <v>6</v>
      </c>
      <c r="C19" s="62" t="s">
        <v>28</v>
      </c>
      <c r="D19" s="63">
        <v>233306</v>
      </c>
      <c r="E19" s="63"/>
      <c r="F19" s="64">
        <v>36</v>
      </c>
      <c r="G19" s="9">
        <f t="shared" si="0"/>
        <v>6480.7222222222226</v>
      </c>
      <c r="H19" s="10"/>
    </row>
    <row r="20" spans="1:11" outlineLevel="1" x14ac:dyDescent="0.35">
      <c r="A20" s="3" t="s">
        <v>5</v>
      </c>
      <c r="B20" s="3" t="s">
        <v>6</v>
      </c>
      <c r="C20" s="62" t="s">
        <v>29</v>
      </c>
      <c r="D20" s="63">
        <v>177000</v>
      </c>
      <c r="E20" s="63"/>
      <c r="F20" s="64">
        <v>12</v>
      </c>
      <c r="G20" s="9">
        <f t="shared" si="0"/>
        <v>14750</v>
      </c>
      <c r="H20" s="10"/>
    </row>
    <row r="21" spans="1:11" outlineLevel="1" x14ac:dyDescent="0.35">
      <c r="A21" s="3" t="s">
        <v>5</v>
      </c>
      <c r="B21" s="3" t="s">
        <v>6</v>
      </c>
      <c r="C21" s="62" t="s">
        <v>30</v>
      </c>
      <c r="D21" s="63">
        <v>174</v>
      </c>
      <c r="E21" s="63">
        <f>D21</f>
        <v>174</v>
      </c>
      <c r="F21" s="64">
        <v>24</v>
      </c>
      <c r="G21" s="9">
        <f t="shared" si="0"/>
        <v>7.25</v>
      </c>
      <c r="H21" s="10"/>
    </row>
    <row r="22" spans="1:11" outlineLevel="1" x14ac:dyDescent="0.35">
      <c r="A22" s="3" t="s">
        <v>5</v>
      </c>
      <c r="B22" s="3" t="s">
        <v>6</v>
      </c>
      <c r="C22" s="62" t="s">
        <v>31</v>
      </c>
      <c r="D22" s="63">
        <v>29025</v>
      </c>
      <c r="E22" s="63">
        <f>D22</f>
        <v>29025</v>
      </c>
      <c r="F22" s="64">
        <v>1</v>
      </c>
      <c r="G22" s="9">
        <f t="shared" si="0"/>
        <v>29025</v>
      </c>
      <c r="H22" s="10"/>
    </row>
    <row r="23" spans="1:11" outlineLevel="1" x14ac:dyDescent="0.35">
      <c r="A23" s="3" t="s">
        <v>5</v>
      </c>
      <c r="B23" s="3" t="s">
        <v>6</v>
      </c>
      <c r="C23" s="62" t="s">
        <v>32</v>
      </c>
      <c r="D23" s="63">
        <v>55000</v>
      </c>
      <c r="E23" s="63"/>
      <c r="F23" s="64">
        <v>1</v>
      </c>
      <c r="G23" s="9">
        <f t="shared" si="0"/>
        <v>55000</v>
      </c>
      <c r="H23" s="10"/>
    </row>
    <row r="24" spans="1:11" outlineLevel="1" x14ac:dyDescent="0.35">
      <c r="A24" s="3" t="s">
        <v>5</v>
      </c>
      <c r="B24" s="3" t="s">
        <v>6</v>
      </c>
      <c r="C24" s="65" t="s">
        <v>33</v>
      </c>
      <c r="D24" s="66">
        <v>163800</v>
      </c>
      <c r="E24" s="65"/>
      <c r="F24" s="67">
        <v>1</v>
      </c>
      <c r="G24" s="15">
        <f t="shared" si="0"/>
        <v>163800</v>
      </c>
      <c r="H24" s="16" t="s">
        <v>34</v>
      </c>
      <c r="I24" s="4" t="s">
        <v>35</v>
      </c>
    </row>
    <row r="25" spans="1:11" outlineLevel="1" x14ac:dyDescent="0.35">
      <c r="A25" s="3" t="s">
        <v>5</v>
      </c>
      <c r="B25" s="3" t="s">
        <v>6</v>
      </c>
      <c r="C25" s="89" t="s">
        <v>36</v>
      </c>
      <c r="D25" s="90"/>
      <c r="E25" s="90"/>
      <c r="F25" s="91">
        <v>12</v>
      </c>
      <c r="G25" s="92">
        <f>D25*F25</f>
        <v>0</v>
      </c>
      <c r="H25" s="88" t="s">
        <v>37</v>
      </c>
    </row>
    <row r="26" spans="1:11" outlineLevel="1" x14ac:dyDescent="0.35">
      <c r="C26" s="83" t="s">
        <v>38</v>
      </c>
      <c r="D26" s="12"/>
      <c r="E26" s="13"/>
      <c r="F26" s="14"/>
      <c r="G26" s="23"/>
      <c r="H26" s="16" t="s">
        <v>39</v>
      </c>
    </row>
    <row r="27" spans="1:11" outlineLevel="1" x14ac:dyDescent="0.35">
      <c r="C27" s="83" t="s">
        <v>40</v>
      </c>
      <c r="D27" s="13"/>
      <c r="E27" s="13"/>
      <c r="F27" s="14"/>
      <c r="G27" s="15"/>
      <c r="H27" s="16" t="s">
        <v>41</v>
      </c>
    </row>
    <row r="28" spans="1:11" x14ac:dyDescent="0.35">
      <c r="D28" s="17"/>
      <c r="E28" s="18"/>
      <c r="F28" s="19"/>
      <c r="K28" s="20"/>
    </row>
    <row r="29" spans="1:11" x14ac:dyDescent="0.35">
      <c r="C29" s="137" t="s">
        <v>42</v>
      </c>
      <c r="D29" s="137"/>
      <c r="E29" s="137"/>
      <c r="F29" s="137"/>
      <c r="G29" s="137"/>
      <c r="H29" s="137"/>
      <c r="K29" s="20"/>
    </row>
    <row r="30" spans="1:11" x14ac:dyDescent="0.35">
      <c r="C30" s="21"/>
      <c r="D30" s="22" t="s">
        <v>0</v>
      </c>
      <c r="E30" s="22" t="s">
        <v>1</v>
      </c>
      <c r="F30" s="22" t="s">
        <v>2</v>
      </c>
      <c r="G30" s="22" t="s">
        <v>3</v>
      </c>
      <c r="H30" s="22" t="s">
        <v>4</v>
      </c>
      <c r="I30" s="4"/>
      <c r="J30" s="20"/>
      <c r="K30" s="20"/>
    </row>
    <row r="31" spans="1:11" outlineLevel="1" x14ac:dyDescent="0.35">
      <c r="C31" s="65" t="s">
        <v>43</v>
      </c>
      <c r="D31" s="66">
        <v>49500000</v>
      </c>
      <c r="E31" s="68">
        <f>D31</f>
        <v>49500000</v>
      </c>
      <c r="F31" s="67">
        <v>60</v>
      </c>
      <c r="G31" s="23">
        <f t="shared" ref="G31:G56" si="1">D31/F31</f>
        <v>825000</v>
      </c>
      <c r="H31" s="24" t="s">
        <v>44</v>
      </c>
      <c r="I31" s="20" t="s">
        <v>45</v>
      </c>
      <c r="K31" s="20"/>
    </row>
    <row r="32" spans="1:11" outlineLevel="1" x14ac:dyDescent="0.35">
      <c r="C32" s="65" t="s">
        <v>9</v>
      </c>
      <c r="D32" s="66">
        <v>21600</v>
      </c>
      <c r="E32" s="68"/>
      <c r="F32" s="67">
        <v>12</v>
      </c>
      <c r="G32" s="15">
        <f t="shared" si="1"/>
        <v>1800</v>
      </c>
      <c r="H32" s="24" t="s">
        <v>46</v>
      </c>
      <c r="I32" s="4"/>
      <c r="J32" s="20"/>
      <c r="K32" s="20"/>
    </row>
    <row r="33" spans="3:11" outlineLevel="1" x14ac:dyDescent="0.35">
      <c r="C33" s="65" t="s">
        <v>47</v>
      </c>
      <c r="D33" s="66">
        <v>179265</v>
      </c>
      <c r="E33" s="68"/>
      <c r="F33" s="67">
        <v>36</v>
      </c>
      <c r="G33" s="15">
        <f>(D33/F33)</f>
        <v>4979.583333333333</v>
      </c>
      <c r="H33" s="24" t="s">
        <v>48</v>
      </c>
      <c r="I33" s="4"/>
      <c r="J33" s="20"/>
      <c r="K33" s="20"/>
    </row>
    <row r="34" spans="3:11" outlineLevel="1" x14ac:dyDescent="0.35">
      <c r="C34" s="65" t="s">
        <v>10</v>
      </c>
      <c r="D34" s="66">
        <v>73000</v>
      </c>
      <c r="E34" s="68"/>
      <c r="F34" s="67">
        <v>12</v>
      </c>
      <c r="G34" s="23">
        <f t="shared" si="1"/>
        <v>6083.333333333333</v>
      </c>
      <c r="H34" s="24" t="s">
        <v>49</v>
      </c>
      <c r="I34" s="4" t="s">
        <v>50</v>
      </c>
      <c r="J34" s="20"/>
      <c r="K34" s="20"/>
    </row>
    <row r="35" spans="3:11" outlineLevel="1" x14ac:dyDescent="0.35">
      <c r="C35" s="65" t="s">
        <v>51</v>
      </c>
      <c r="D35" s="66">
        <v>373000</v>
      </c>
      <c r="E35" s="68"/>
      <c r="F35" s="67">
        <v>24</v>
      </c>
      <c r="G35" s="15">
        <f t="shared" si="1"/>
        <v>15541.666666666666</v>
      </c>
      <c r="H35" s="24" t="s">
        <v>52</v>
      </c>
      <c r="I35" s="4"/>
      <c r="J35" s="20"/>
      <c r="K35" s="20"/>
    </row>
    <row r="36" spans="3:11" outlineLevel="1" x14ac:dyDescent="0.35">
      <c r="C36" s="65" t="s">
        <v>15</v>
      </c>
      <c r="D36" s="66">
        <v>52893</v>
      </c>
      <c r="E36" s="68"/>
      <c r="F36" s="67">
        <v>12</v>
      </c>
      <c r="G36" s="15">
        <f t="shared" si="1"/>
        <v>4407.75</v>
      </c>
      <c r="H36" s="24" t="s">
        <v>53</v>
      </c>
      <c r="I36" s="4"/>
      <c r="J36" s="20"/>
      <c r="K36" s="20"/>
    </row>
    <row r="37" spans="3:11" outlineLevel="1" x14ac:dyDescent="0.35">
      <c r="C37" s="65" t="s">
        <v>54</v>
      </c>
      <c r="D37" s="66">
        <v>280000</v>
      </c>
      <c r="E37" s="68"/>
      <c r="F37" s="67">
        <v>12</v>
      </c>
      <c r="G37" s="15">
        <f t="shared" si="1"/>
        <v>23333.333333333332</v>
      </c>
      <c r="H37" s="24" t="s">
        <v>55</v>
      </c>
      <c r="I37" s="4"/>
      <c r="J37" s="20"/>
      <c r="K37" s="20"/>
    </row>
    <row r="38" spans="3:11" outlineLevel="1" x14ac:dyDescent="0.35">
      <c r="C38" s="65" t="s">
        <v>17</v>
      </c>
      <c r="D38" s="66">
        <v>236000</v>
      </c>
      <c r="E38" s="68"/>
      <c r="F38" s="67">
        <v>24</v>
      </c>
      <c r="G38" s="15">
        <f t="shared" si="1"/>
        <v>9833.3333333333339</v>
      </c>
      <c r="H38" s="24" t="s">
        <v>52</v>
      </c>
      <c r="I38" s="4"/>
      <c r="J38" s="20"/>
      <c r="K38" s="20"/>
    </row>
    <row r="39" spans="3:11" outlineLevel="1" x14ac:dyDescent="0.35">
      <c r="C39" s="65" t="s">
        <v>56</v>
      </c>
      <c r="D39" s="66">
        <v>180000</v>
      </c>
      <c r="E39" s="68"/>
      <c r="F39" s="67">
        <v>12</v>
      </c>
      <c r="G39" s="15">
        <f t="shared" si="1"/>
        <v>15000</v>
      </c>
      <c r="H39" s="24" t="s">
        <v>57</v>
      </c>
      <c r="I39" s="4" t="s">
        <v>58</v>
      </c>
      <c r="J39" s="20"/>
      <c r="K39" s="20"/>
    </row>
    <row r="40" spans="3:11" outlineLevel="1" x14ac:dyDescent="0.35">
      <c r="C40" s="65" t="s">
        <v>19</v>
      </c>
      <c r="D40" s="66">
        <v>19500</v>
      </c>
      <c r="E40" s="68"/>
      <c r="F40" s="67">
        <v>12</v>
      </c>
      <c r="G40" s="15">
        <f t="shared" si="1"/>
        <v>1625</v>
      </c>
      <c r="H40" s="24" t="s">
        <v>53</v>
      </c>
      <c r="I40" s="4"/>
      <c r="J40" s="20"/>
      <c r="K40" s="20"/>
    </row>
    <row r="41" spans="3:11" outlineLevel="1" x14ac:dyDescent="0.35">
      <c r="C41" s="65" t="s">
        <v>59</v>
      </c>
      <c r="D41" s="66">
        <v>22500</v>
      </c>
      <c r="E41" s="68"/>
      <c r="F41" s="67">
        <v>12</v>
      </c>
      <c r="G41" s="15">
        <f t="shared" si="1"/>
        <v>1875</v>
      </c>
      <c r="H41" s="24" t="s">
        <v>53</v>
      </c>
      <c r="I41" s="4"/>
      <c r="J41" s="20"/>
      <c r="K41" s="20"/>
    </row>
    <row r="42" spans="3:11" outlineLevel="1" x14ac:dyDescent="0.35">
      <c r="C42" s="65" t="s">
        <v>60</v>
      </c>
      <c r="D42" s="66">
        <v>2757200</v>
      </c>
      <c r="E42" s="66"/>
      <c r="F42" s="67">
        <v>12</v>
      </c>
      <c r="G42" s="23">
        <f t="shared" si="1"/>
        <v>229766.66666666666</v>
      </c>
      <c r="H42" s="24" t="s">
        <v>61</v>
      </c>
      <c r="I42" s="4"/>
      <c r="J42" s="20"/>
      <c r="K42" s="20"/>
    </row>
    <row r="43" spans="3:11" outlineLevel="1" x14ac:dyDescent="0.35">
      <c r="C43" s="65" t="s">
        <v>62</v>
      </c>
      <c r="D43" s="66">
        <v>166239</v>
      </c>
      <c r="E43" s="66"/>
      <c r="F43" s="67">
        <v>6</v>
      </c>
      <c r="G43" s="23">
        <f t="shared" si="1"/>
        <v>27706.5</v>
      </c>
      <c r="H43" s="24" t="s">
        <v>61</v>
      </c>
      <c r="I43" s="4"/>
      <c r="J43" s="20"/>
      <c r="K43" s="20"/>
    </row>
    <row r="44" spans="3:11" outlineLevel="1" x14ac:dyDescent="0.35">
      <c r="C44" s="65" t="s">
        <v>25</v>
      </c>
      <c r="D44" s="66">
        <v>208500</v>
      </c>
      <c r="E44" s="66">
        <f>D44</f>
        <v>208500</v>
      </c>
      <c r="F44" s="67">
        <v>12</v>
      </c>
      <c r="G44" s="23">
        <f t="shared" si="1"/>
        <v>17375</v>
      </c>
      <c r="H44" s="24" t="s">
        <v>53</v>
      </c>
      <c r="I44" s="4"/>
      <c r="J44" s="20"/>
      <c r="K44" s="20"/>
    </row>
    <row r="45" spans="3:11" outlineLevel="1" x14ac:dyDescent="0.35">
      <c r="C45" s="65" t="s">
        <v>63</v>
      </c>
      <c r="D45" s="66">
        <v>338500</v>
      </c>
      <c r="E45" s="66"/>
      <c r="F45" s="67">
        <v>2</v>
      </c>
      <c r="G45" s="23">
        <f t="shared" si="1"/>
        <v>169250</v>
      </c>
      <c r="H45" s="24" t="s">
        <v>64</v>
      </c>
      <c r="I45" s="4" t="s">
        <v>65</v>
      </c>
      <c r="J45" s="20"/>
      <c r="K45" s="20"/>
    </row>
    <row r="46" spans="3:11" outlineLevel="1" x14ac:dyDescent="0.35">
      <c r="C46" s="65" t="s">
        <v>27</v>
      </c>
      <c r="D46" s="66">
        <v>140000</v>
      </c>
      <c r="E46" s="66"/>
      <c r="F46" s="67">
        <v>24</v>
      </c>
      <c r="G46" s="23">
        <f t="shared" si="1"/>
        <v>5833.333333333333</v>
      </c>
      <c r="H46" s="24" t="s">
        <v>52</v>
      </c>
      <c r="I46" s="4"/>
      <c r="J46" s="20"/>
      <c r="K46" s="20"/>
    </row>
    <row r="47" spans="3:11" outlineLevel="1" x14ac:dyDescent="0.35">
      <c r="C47" s="65" t="s">
        <v>66</v>
      </c>
      <c r="D47" s="66">
        <v>354000</v>
      </c>
      <c r="E47" s="66"/>
      <c r="F47" s="67">
        <v>12</v>
      </c>
      <c r="G47" s="23">
        <f t="shared" si="1"/>
        <v>29500</v>
      </c>
      <c r="H47" s="24" t="s">
        <v>61</v>
      </c>
      <c r="I47" s="4"/>
      <c r="J47" s="20"/>
      <c r="K47" s="20"/>
    </row>
    <row r="48" spans="3:11" outlineLevel="1" x14ac:dyDescent="0.35">
      <c r="C48" s="65" t="s">
        <v>30</v>
      </c>
      <c r="D48" s="66">
        <v>174</v>
      </c>
      <c r="E48" s="66">
        <f>D48</f>
        <v>174</v>
      </c>
      <c r="F48" s="67">
        <v>12</v>
      </c>
      <c r="G48" s="23">
        <f t="shared" si="1"/>
        <v>14.5</v>
      </c>
      <c r="H48" s="24"/>
      <c r="I48" s="4"/>
      <c r="J48" s="20"/>
      <c r="K48" s="20"/>
    </row>
    <row r="49" spans="3:11" outlineLevel="1" x14ac:dyDescent="0.35">
      <c r="C49" s="65" t="s">
        <v>31</v>
      </c>
      <c r="D49" s="66">
        <v>29025</v>
      </c>
      <c r="E49" s="66">
        <f>D49</f>
        <v>29025</v>
      </c>
      <c r="F49" s="67">
        <v>1</v>
      </c>
      <c r="G49" s="23">
        <f t="shared" si="1"/>
        <v>29025</v>
      </c>
      <c r="H49" s="24" t="s">
        <v>67</v>
      </c>
      <c r="I49" s="4"/>
      <c r="J49" s="20"/>
      <c r="K49" s="20"/>
    </row>
    <row r="50" spans="3:11" outlineLevel="1" x14ac:dyDescent="0.35">
      <c r="C50" s="65" t="s">
        <v>68</v>
      </c>
      <c r="D50" s="66">
        <v>270000</v>
      </c>
      <c r="E50" s="68"/>
      <c r="F50" s="67">
        <v>24</v>
      </c>
      <c r="G50" s="23">
        <f t="shared" si="1"/>
        <v>11250</v>
      </c>
      <c r="H50" s="24" t="s">
        <v>52</v>
      </c>
      <c r="I50" s="4"/>
      <c r="J50" s="20"/>
      <c r="K50" s="20"/>
    </row>
    <row r="51" spans="3:11" outlineLevel="1" x14ac:dyDescent="0.35">
      <c r="C51" s="65" t="s">
        <v>69</v>
      </c>
      <c r="D51" s="66">
        <v>216000</v>
      </c>
      <c r="E51" s="68"/>
      <c r="F51" s="67">
        <v>24</v>
      </c>
      <c r="G51" s="23">
        <f t="shared" si="1"/>
        <v>9000</v>
      </c>
      <c r="H51" s="24" t="s">
        <v>52</v>
      </c>
      <c r="I51" s="4"/>
      <c r="J51" s="20"/>
      <c r="K51" s="20"/>
    </row>
    <row r="52" spans="3:11" outlineLevel="1" x14ac:dyDescent="0.35">
      <c r="C52" s="65" t="s">
        <v>32</v>
      </c>
      <c r="D52" s="66">
        <v>110000</v>
      </c>
      <c r="E52" s="65"/>
      <c r="F52" s="67">
        <v>1</v>
      </c>
      <c r="G52" s="15">
        <f t="shared" si="1"/>
        <v>110000</v>
      </c>
      <c r="H52" s="16" t="s">
        <v>70</v>
      </c>
      <c r="I52" s="4"/>
      <c r="J52" s="20"/>
      <c r="K52" s="20"/>
    </row>
    <row r="53" spans="3:11" outlineLevel="1" x14ac:dyDescent="0.35">
      <c r="C53" s="11" t="s">
        <v>33</v>
      </c>
      <c r="D53" s="12"/>
      <c r="E53" s="13"/>
      <c r="F53" s="14">
        <v>12</v>
      </c>
      <c r="G53" s="15">
        <f t="shared" si="1"/>
        <v>0</v>
      </c>
      <c r="H53" s="16" t="s">
        <v>71</v>
      </c>
      <c r="I53" s="4" t="s">
        <v>35</v>
      </c>
      <c r="J53" s="20"/>
      <c r="K53" s="20"/>
    </row>
    <row r="54" spans="3:11" outlineLevel="1" x14ac:dyDescent="0.35">
      <c r="C54" s="65" t="s">
        <v>72</v>
      </c>
      <c r="D54" s="66">
        <v>60000</v>
      </c>
      <c r="E54" s="65"/>
      <c r="F54" s="67">
        <v>36</v>
      </c>
      <c r="G54" s="15">
        <f t="shared" si="1"/>
        <v>1666.6666666666667</v>
      </c>
      <c r="H54" s="16"/>
      <c r="I54" s="4"/>
      <c r="J54" s="20"/>
      <c r="K54" s="20"/>
    </row>
    <row r="55" spans="3:11" outlineLevel="1" x14ac:dyDescent="0.35">
      <c r="C55" s="11" t="s">
        <v>36</v>
      </c>
      <c r="D55" s="13"/>
      <c r="E55" s="13"/>
      <c r="F55" s="14">
        <v>12</v>
      </c>
      <c r="G55" s="15">
        <f t="shared" si="1"/>
        <v>0</v>
      </c>
      <c r="H55" s="16" t="s">
        <v>73</v>
      </c>
      <c r="I55" s="4"/>
      <c r="J55" s="20"/>
      <c r="K55" s="20"/>
    </row>
    <row r="56" spans="3:11" outlineLevel="1" x14ac:dyDescent="0.35">
      <c r="C56" s="93" t="s">
        <v>40</v>
      </c>
      <c r="D56" s="94"/>
      <c r="E56" s="90"/>
      <c r="F56" s="91"/>
      <c r="G56" s="92" t="e">
        <f t="shared" si="1"/>
        <v>#DIV/0!</v>
      </c>
      <c r="H56" s="88" t="s">
        <v>41</v>
      </c>
      <c r="I56" s="4"/>
      <c r="J56" s="20"/>
      <c r="K56" s="20"/>
    </row>
    <row r="57" spans="3:11" outlineLevel="1" x14ac:dyDescent="0.35">
      <c r="C57" s="83" t="s">
        <v>38</v>
      </c>
      <c r="D57" s="12"/>
      <c r="E57" s="13"/>
      <c r="F57" s="14"/>
      <c r="G57" s="15"/>
      <c r="H57" s="16" t="s">
        <v>39</v>
      </c>
      <c r="I57" s="4"/>
      <c r="J57" s="20"/>
      <c r="K57" s="20"/>
    </row>
    <row r="58" spans="3:11" x14ac:dyDescent="0.35">
      <c r="E58" s="25">
        <f>SUM(E31:E55)</f>
        <v>49737699</v>
      </c>
      <c r="F58" s="26" t="s">
        <v>74</v>
      </c>
      <c r="G58" s="25">
        <f>SUM(G31:G55)</f>
        <v>1549866.6666666667</v>
      </c>
      <c r="I58" s="4"/>
      <c r="J58" s="20"/>
      <c r="K58" s="20"/>
    </row>
    <row r="59" spans="3:11" x14ac:dyDescent="0.35">
      <c r="E59" s="27" t="s">
        <v>75</v>
      </c>
      <c r="F59" s="28">
        <v>0.05</v>
      </c>
      <c r="G59" s="29">
        <f>G58*F59</f>
        <v>77493.333333333343</v>
      </c>
      <c r="I59" s="4"/>
      <c r="J59" s="20"/>
      <c r="K59" s="20"/>
    </row>
    <row r="60" spans="3:11" x14ac:dyDescent="0.35">
      <c r="E60" s="30"/>
      <c r="F60" s="31"/>
      <c r="I60" s="4"/>
      <c r="J60" s="20"/>
      <c r="K60" s="20"/>
    </row>
    <row r="61" spans="3:11" x14ac:dyDescent="0.35">
      <c r="C61" s="138" t="s">
        <v>76</v>
      </c>
      <c r="D61" s="139"/>
      <c r="E61" s="139"/>
      <c r="F61" s="139"/>
      <c r="G61" s="139"/>
      <c r="H61" s="139"/>
    </row>
    <row r="62" spans="3:11" outlineLevel="1" x14ac:dyDescent="0.35">
      <c r="C62" s="32" t="s">
        <v>77</v>
      </c>
      <c r="D62" s="32" t="s">
        <v>78</v>
      </c>
      <c r="E62" s="32" t="s">
        <v>79</v>
      </c>
      <c r="F62" s="32" t="s">
        <v>2</v>
      </c>
      <c r="G62" s="32" t="s">
        <v>3</v>
      </c>
      <c r="H62" s="32" t="s">
        <v>4</v>
      </c>
    </row>
    <row r="63" spans="3:11" outlineLevel="1" x14ac:dyDescent="0.35">
      <c r="C63" s="65" t="s">
        <v>80</v>
      </c>
      <c r="D63" s="66">
        <v>40150</v>
      </c>
      <c r="E63" s="68">
        <f>D63</f>
        <v>40150</v>
      </c>
      <c r="F63" s="67">
        <v>60</v>
      </c>
      <c r="G63" s="23">
        <f>D63/F63</f>
        <v>669.16666666666663</v>
      </c>
      <c r="H63" s="16" t="s">
        <v>81</v>
      </c>
      <c r="I63" s="33"/>
    </row>
    <row r="64" spans="3:11" outlineLevel="1" x14ac:dyDescent="0.35">
      <c r="C64" s="65" t="s">
        <v>82</v>
      </c>
      <c r="D64" s="66">
        <v>42200</v>
      </c>
      <c r="E64" s="68">
        <f>D64</f>
        <v>42200</v>
      </c>
      <c r="F64" s="67">
        <v>60</v>
      </c>
      <c r="G64" s="23">
        <f>D64/F64</f>
        <v>703.33333333333337</v>
      </c>
      <c r="H64" s="16" t="s">
        <v>83</v>
      </c>
      <c r="I64" s="33"/>
    </row>
    <row r="65" spans="3:8" outlineLevel="1" x14ac:dyDescent="0.35">
      <c r="C65" s="65" t="s">
        <v>84</v>
      </c>
      <c r="D65" s="66">
        <v>1400</v>
      </c>
      <c r="E65" s="66"/>
      <c r="F65" s="67">
        <v>1</v>
      </c>
      <c r="G65" s="23">
        <f>D65/F65</f>
        <v>1400</v>
      </c>
      <c r="H65" s="16" t="s">
        <v>85</v>
      </c>
    </row>
    <row r="66" spans="3:8" outlineLevel="1" x14ac:dyDescent="0.35">
      <c r="C66" s="65" t="s">
        <v>86</v>
      </c>
      <c r="D66" s="66">
        <v>1400</v>
      </c>
      <c r="E66" s="66"/>
      <c r="F66" s="67">
        <v>1</v>
      </c>
      <c r="G66" s="23">
        <f>D66/F66</f>
        <v>1400</v>
      </c>
      <c r="H66" s="16" t="s">
        <v>85</v>
      </c>
    </row>
    <row r="67" spans="3:8" outlineLevel="1" x14ac:dyDescent="0.35">
      <c r="C67" s="65" t="s">
        <v>87</v>
      </c>
      <c r="D67" s="66">
        <v>430000</v>
      </c>
      <c r="E67" s="68">
        <f>D67</f>
        <v>430000</v>
      </c>
      <c r="F67" s="67">
        <v>24</v>
      </c>
      <c r="G67" s="23">
        <f t="shared" ref="G67:G78" si="2">D67/F67</f>
        <v>17916.666666666668</v>
      </c>
      <c r="H67" s="16"/>
    </row>
    <row r="68" spans="3:8" outlineLevel="1" x14ac:dyDescent="0.35">
      <c r="C68" s="65" t="s">
        <v>88</v>
      </c>
      <c r="D68" s="66">
        <v>187865</v>
      </c>
      <c r="E68" s="68">
        <f>D68</f>
        <v>187865</v>
      </c>
      <c r="F68" s="67">
        <v>1</v>
      </c>
      <c r="G68" s="23">
        <f t="shared" si="2"/>
        <v>187865</v>
      </c>
      <c r="H68" s="16"/>
    </row>
    <row r="69" spans="3:8" outlineLevel="1" x14ac:dyDescent="0.35">
      <c r="C69" s="65" t="s">
        <v>89</v>
      </c>
      <c r="D69" s="66">
        <v>76250</v>
      </c>
      <c r="E69" s="66"/>
      <c r="F69" s="67">
        <v>12</v>
      </c>
      <c r="G69" s="23">
        <f t="shared" si="2"/>
        <v>6354.166666666667</v>
      </c>
      <c r="H69" s="16" t="s">
        <v>90</v>
      </c>
    </row>
    <row r="70" spans="3:8" outlineLevel="1" x14ac:dyDescent="0.35">
      <c r="C70" s="65" t="s">
        <v>91</v>
      </c>
      <c r="D70" s="66">
        <v>182070</v>
      </c>
      <c r="E70" s="66"/>
      <c r="F70" s="67">
        <v>3</v>
      </c>
      <c r="G70" s="23">
        <f t="shared" si="2"/>
        <v>60690</v>
      </c>
      <c r="H70" s="16" t="s">
        <v>92</v>
      </c>
    </row>
    <row r="71" spans="3:8" outlineLevel="1" x14ac:dyDescent="0.35">
      <c r="C71" s="65" t="s">
        <v>93</v>
      </c>
      <c r="D71" s="66">
        <v>349000</v>
      </c>
      <c r="E71" s="66"/>
      <c r="F71" s="67">
        <v>12</v>
      </c>
      <c r="G71" s="23">
        <f t="shared" si="2"/>
        <v>29083.333333333332</v>
      </c>
      <c r="H71" s="16" t="s">
        <v>94</v>
      </c>
    </row>
    <row r="72" spans="3:8" outlineLevel="1" x14ac:dyDescent="0.35">
      <c r="C72" s="65" t="s">
        <v>95</v>
      </c>
      <c r="D72" s="66">
        <v>165000</v>
      </c>
      <c r="E72" s="66"/>
      <c r="F72" s="67">
        <v>8</v>
      </c>
      <c r="G72" s="23">
        <f t="shared" si="2"/>
        <v>20625</v>
      </c>
      <c r="H72" s="16" t="s">
        <v>96</v>
      </c>
    </row>
    <row r="73" spans="3:8" outlineLevel="1" x14ac:dyDescent="0.35">
      <c r="C73" s="65" t="s">
        <v>97</v>
      </c>
      <c r="D73" s="66">
        <v>86250</v>
      </c>
      <c r="E73" s="66"/>
      <c r="F73" s="67">
        <v>12</v>
      </c>
      <c r="G73" s="23">
        <f t="shared" si="2"/>
        <v>7187.5</v>
      </c>
      <c r="H73" s="16"/>
    </row>
    <row r="74" spans="3:8" outlineLevel="1" x14ac:dyDescent="0.35">
      <c r="C74" s="65" t="s">
        <v>98</v>
      </c>
      <c r="D74" s="66">
        <v>200000</v>
      </c>
      <c r="E74" s="66"/>
      <c r="F74" s="67">
        <v>24</v>
      </c>
      <c r="G74" s="23">
        <f>D74/F74</f>
        <v>8333.3333333333339</v>
      </c>
      <c r="H74" s="16"/>
    </row>
    <row r="75" spans="3:8" outlineLevel="1" x14ac:dyDescent="0.35">
      <c r="C75" s="65" t="s">
        <v>99</v>
      </c>
      <c r="D75" s="66">
        <v>731000</v>
      </c>
      <c r="E75" s="66"/>
      <c r="F75" s="67">
        <v>36</v>
      </c>
      <c r="G75" s="23">
        <f t="shared" si="2"/>
        <v>20305.555555555555</v>
      </c>
      <c r="H75" s="16"/>
    </row>
    <row r="76" spans="3:8" outlineLevel="1" x14ac:dyDescent="0.35">
      <c r="C76" s="69" t="s">
        <v>100</v>
      </c>
      <c r="D76" s="84">
        <v>65000</v>
      </c>
      <c r="E76" s="84"/>
      <c r="F76" s="85">
        <v>12</v>
      </c>
      <c r="G76" s="87">
        <f t="shared" si="2"/>
        <v>5416.666666666667</v>
      </c>
      <c r="H76" s="88"/>
    </row>
    <row r="77" spans="3:8" outlineLevel="1" x14ac:dyDescent="0.35">
      <c r="C77" s="65" t="s">
        <v>101</v>
      </c>
      <c r="D77" s="66">
        <v>240000</v>
      </c>
      <c r="E77" s="65"/>
      <c r="F77" s="67">
        <v>12</v>
      </c>
      <c r="G77" s="87">
        <f t="shared" si="2"/>
        <v>20000</v>
      </c>
      <c r="H77" s="16" t="s">
        <v>102</v>
      </c>
    </row>
    <row r="78" spans="3:8" outlineLevel="1" x14ac:dyDescent="0.35">
      <c r="C78" s="69" t="s">
        <v>103</v>
      </c>
      <c r="D78" s="84">
        <v>65702.460000000006</v>
      </c>
      <c r="E78" s="69"/>
      <c r="F78" s="85">
        <v>12</v>
      </c>
      <c r="G78" s="87">
        <f t="shared" si="2"/>
        <v>5475.2050000000008</v>
      </c>
      <c r="H78" s="88"/>
    </row>
    <row r="79" spans="3:8" outlineLevel="1" x14ac:dyDescent="0.35">
      <c r="C79" s="83" t="s">
        <v>38</v>
      </c>
      <c r="D79" s="23"/>
      <c r="E79" s="83"/>
      <c r="F79" s="14"/>
      <c r="G79" s="23"/>
      <c r="H79" s="16" t="s">
        <v>39</v>
      </c>
    </row>
    <row r="80" spans="3:8" outlineLevel="1" x14ac:dyDescent="0.35">
      <c r="D80" s="17"/>
      <c r="E80" s="86">
        <f>SUM(E67:E76)</f>
        <v>617865</v>
      </c>
      <c r="F80" s="34"/>
      <c r="G80" s="17"/>
      <c r="H80" s="20"/>
    </row>
    <row r="81" spans="3:8" x14ac:dyDescent="0.35">
      <c r="D81" s="19"/>
      <c r="E81" s="20"/>
    </row>
    <row r="82" spans="3:8" ht="15" hidden="1" thickBot="1" x14ac:dyDescent="0.4">
      <c r="C82" s="140" t="s">
        <v>104</v>
      </c>
      <c r="D82" s="141"/>
      <c r="E82" s="141"/>
      <c r="F82" s="141"/>
      <c r="G82" s="142"/>
      <c r="H82" s="33" t="s">
        <v>105</v>
      </c>
    </row>
    <row r="83" spans="3:8" hidden="1" outlineLevel="1" x14ac:dyDescent="0.35">
      <c r="C83" s="35" t="s">
        <v>106</v>
      </c>
      <c r="D83" s="8" t="s">
        <v>107</v>
      </c>
      <c r="E83" s="8" t="s">
        <v>108</v>
      </c>
      <c r="F83" s="8" t="s">
        <v>109</v>
      </c>
      <c r="G83" s="8" t="s">
        <v>110</v>
      </c>
    </row>
    <row r="84" spans="3:8" hidden="1" outlineLevel="1" x14ac:dyDescent="0.35">
      <c r="C84" s="6" t="s">
        <v>111</v>
      </c>
      <c r="D84" s="3">
        <v>2</v>
      </c>
      <c r="E84" s="5">
        <v>1000000</v>
      </c>
      <c r="F84" s="3">
        <v>24</v>
      </c>
      <c r="G84" s="5">
        <f t="shared" ref="G84:G112" si="3">E84/F84</f>
        <v>41666.666666666664</v>
      </c>
    </row>
    <row r="85" spans="3:8" hidden="1" outlineLevel="1" x14ac:dyDescent="0.35">
      <c r="C85" s="6" t="s">
        <v>112</v>
      </c>
      <c r="D85" s="3">
        <v>2</v>
      </c>
      <c r="E85" s="5">
        <v>370000</v>
      </c>
      <c r="F85" s="3">
        <v>12</v>
      </c>
      <c r="G85" s="5">
        <f t="shared" si="3"/>
        <v>30833.333333333332</v>
      </c>
    </row>
    <row r="86" spans="3:8" hidden="1" outlineLevel="1" x14ac:dyDescent="0.35">
      <c r="C86" s="6" t="s">
        <v>113</v>
      </c>
      <c r="D86" s="3">
        <v>2</v>
      </c>
      <c r="E86" s="5">
        <v>1100000</v>
      </c>
      <c r="F86" s="3">
        <v>12</v>
      </c>
      <c r="G86" s="5">
        <f t="shared" si="3"/>
        <v>91666.666666666672</v>
      </c>
    </row>
    <row r="87" spans="3:8" hidden="1" outlineLevel="1" x14ac:dyDescent="0.35">
      <c r="C87" s="6" t="s">
        <v>114</v>
      </c>
      <c r="D87" s="3">
        <v>1</v>
      </c>
      <c r="E87" s="5">
        <v>1200</v>
      </c>
      <c r="F87" s="3">
        <v>24</v>
      </c>
      <c r="G87" s="5">
        <f t="shared" si="3"/>
        <v>50</v>
      </c>
    </row>
    <row r="88" spans="3:8" hidden="1" outlineLevel="1" x14ac:dyDescent="0.35">
      <c r="C88" s="6" t="s">
        <v>115</v>
      </c>
      <c r="D88" s="3">
        <v>4</v>
      </c>
      <c r="E88" s="5">
        <v>300000</v>
      </c>
      <c r="F88" s="3">
        <v>6</v>
      </c>
      <c r="G88" s="5">
        <f t="shared" si="3"/>
        <v>50000</v>
      </c>
    </row>
    <row r="89" spans="3:8" hidden="1" outlineLevel="1" x14ac:dyDescent="0.35">
      <c r="C89" s="6" t="s">
        <v>116</v>
      </c>
      <c r="D89" s="3">
        <v>2</v>
      </c>
      <c r="E89" s="5">
        <v>859392</v>
      </c>
      <c r="F89" s="3">
        <v>12</v>
      </c>
      <c r="G89" s="5">
        <f t="shared" si="3"/>
        <v>71616</v>
      </c>
    </row>
    <row r="90" spans="3:8" ht="18" hidden="1" customHeight="1" outlineLevel="1" x14ac:dyDescent="0.35">
      <c r="C90" s="6" t="s">
        <v>117</v>
      </c>
      <c r="D90" s="3">
        <v>2</v>
      </c>
      <c r="E90" s="5">
        <v>70000</v>
      </c>
      <c r="F90" s="3">
        <v>12</v>
      </c>
      <c r="G90" s="5">
        <f t="shared" si="3"/>
        <v>5833.333333333333</v>
      </c>
    </row>
    <row r="91" spans="3:8" ht="18" hidden="1" customHeight="1" outlineLevel="1" x14ac:dyDescent="0.35">
      <c r="C91" s="6" t="s">
        <v>118</v>
      </c>
      <c r="D91" s="3">
        <v>2</v>
      </c>
      <c r="E91" s="5">
        <v>225000</v>
      </c>
      <c r="F91" s="3">
        <v>24</v>
      </c>
      <c r="G91" s="5">
        <f t="shared" si="3"/>
        <v>9375</v>
      </c>
    </row>
    <row r="92" spans="3:8" ht="18" hidden="1" customHeight="1" outlineLevel="1" x14ac:dyDescent="0.35">
      <c r="C92" s="6" t="s">
        <v>119</v>
      </c>
      <c r="D92" s="3">
        <v>2</v>
      </c>
      <c r="E92" s="5">
        <v>230000</v>
      </c>
      <c r="F92" s="3">
        <v>12</v>
      </c>
      <c r="G92" s="5">
        <f t="shared" si="3"/>
        <v>19166.666666666668</v>
      </c>
    </row>
    <row r="93" spans="3:8" ht="18" hidden="1" customHeight="1" outlineLevel="1" x14ac:dyDescent="0.35">
      <c r="C93" s="6" t="s">
        <v>120</v>
      </c>
      <c r="D93" s="3">
        <v>5</v>
      </c>
      <c r="E93" s="5">
        <v>3200</v>
      </c>
      <c r="F93" s="3">
        <v>12</v>
      </c>
      <c r="G93" s="5">
        <f t="shared" si="3"/>
        <v>266.66666666666669</v>
      </c>
    </row>
    <row r="94" spans="3:8" ht="18" hidden="1" customHeight="1" outlineLevel="1" x14ac:dyDescent="0.35">
      <c r="C94" s="6" t="s">
        <v>121</v>
      </c>
      <c r="D94" s="3">
        <v>2</v>
      </c>
      <c r="E94" s="5">
        <v>3000</v>
      </c>
      <c r="F94" s="3">
        <v>12</v>
      </c>
      <c r="G94" s="5">
        <f t="shared" si="3"/>
        <v>250</v>
      </c>
    </row>
    <row r="95" spans="3:8" ht="18" hidden="1" customHeight="1" outlineLevel="1" x14ac:dyDescent="0.35">
      <c r="C95" s="6" t="s">
        <v>122</v>
      </c>
      <c r="D95" s="3">
        <v>2</v>
      </c>
      <c r="E95" s="5">
        <v>253</v>
      </c>
      <c r="F95" s="3">
        <v>12</v>
      </c>
      <c r="G95" s="5">
        <f t="shared" si="3"/>
        <v>21.083333333333332</v>
      </c>
    </row>
    <row r="96" spans="3:8" ht="18" hidden="1" customHeight="1" outlineLevel="1" x14ac:dyDescent="0.35">
      <c r="C96" s="6" t="s">
        <v>123</v>
      </c>
      <c r="D96" s="3">
        <v>1</v>
      </c>
      <c r="E96" s="5">
        <v>833</v>
      </c>
      <c r="F96" s="3">
        <v>36</v>
      </c>
      <c r="G96" s="5">
        <f t="shared" si="3"/>
        <v>23.138888888888889</v>
      </c>
    </row>
    <row r="97" spans="3:7" ht="18" hidden="1" customHeight="1" outlineLevel="1" x14ac:dyDescent="0.35">
      <c r="C97" s="6" t="s">
        <v>124</v>
      </c>
      <c r="D97" s="3">
        <v>1</v>
      </c>
      <c r="E97" s="5">
        <v>680</v>
      </c>
      <c r="F97" s="3">
        <v>12</v>
      </c>
      <c r="G97" s="5">
        <f t="shared" si="3"/>
        <v>56.666666666666664</v>
      </c>
    </row>
    <row r="98" spans="3:7" ht="18" hidden="1" customHeight="1" outlineLevel="1" x14ac:dyDescent="0.35">
      <c r="C98" s="6" t="s">
        <v>125</v>
      </c>
      <c r="D98" s="3">
        <v>3</v>
      </c>
      <c r="E98" s="5">
        <v>126765</v>
      </c>
      <c r="F98" s="3">
        <v>1</v>
      </c>
      <c r="G98" s="5">
        <f t="shared" si="3"/>
        <v>126765</v>
      </c>
    </row>
    <row r="99" spans="3:7" ht="18" hidden="1" customHeight="1" outlineLevel="1" x14ac:dyDescent="0.35">
      <c r="C99" s="36" t="s">
        <v>126</v>
      </c>
      <c r="D99" s="3">
        <v>1</v>
      </c>
      <c r="E99" s="5">
        <v>85511</v>
      </c>
      <c r="F99" s="37">
        <v>24</v>
      </c>
      <c r="G99" s="38">
        <f t="shared" si="3"/>
        <v>3562.9583333333335</v>
      </c>
    </row>
    <row r="100" spans="3:7" ht="18" hidden="1" customHeight="1" outlineLevel="1" x14ac:dyDescent="0.35">
      <c r="C100" s="6" t="s">
        <v>127</v>
      </c>
      <c r="D100" s="3">
        <v>2</v>
      </c>
      <c r="E100" s="5">
        <v>9433</v>
      </c>
      <c r="F100" s="3">
        <v>24</v>
      </c>
      <c r="G100" s="5">
        <f t="shared" si="3"/>
        <v>393.04166666666669</v>
      </c>
    </row>
    <row r="101" spans="3:7" ht="18" hidden="1" customHeight="1" outlineLevel="1" x14ac:dyDescent="0.35">
      <c r="C101" s="6" t="s">
        <v>128</v>
      </c>
      <c r="D101" s="3">
        <v>2</v>
      </c>
      <c r="E101" s="5">
        <v>1000000</v>
      </c>
      <c r="F101" s="3">
        <v>24</v>
      </c>
      <c r="G101" s="5">
        <f t="shared" si="3"/>
        <v>41666.666666666664</v>
      </c>
    </row>
    <row r="102" spans="3:7" ht="18" hidden="1" customHeight="1" outlineLevel="1" x14ac:dyDescent="0.35">
      <c r="C102" s="6" t="s">
        <v>129</v>
      </c>
      <c r="D102" s="3">
        <v>1</v>
      </c>
      <c r="E102" s="5">
        <v>8000</v>
      </c>
      <c r="F102" s="3">
        <v>24</v>
      </c>
      <c r="G102" s="5">
        <f t="shared" si="3"/>
        <v>333.33333333333331</v>
      </c>
    </row>
    <row r="103" spans="3:7" ht="18" hidden="1" customHeight="1" outlineLevel="1" x14ac:dyDescent="0.35">
      <c r="C103" s="6" t="s">
        <v>130</v>
      </c>
      <c r="D103" s="3">
        <v>1</v>
      </c>
      <c r="E103" s="5">
        <v>5000</v>
      </c>
      <c r="F103" s="3">
        <v>12</v>
      </c>
      <c r="G103" s="5">
        <f t="shared" si="3"/>
        <v>416.66666666666669</v>
      </c>
    </row>
    <row r="104" spans="3:7" ht="18" hidden="1" customHeight="1" outlineLevel="1" x14ac:dyDescent="0.35">
      <c r="C104" s="6" t="s">
        <v>131</v>
      </c>
      <c r="D104" s="3">
        <v>1</v>
      </c>
      <c r="E104" s="5">
        <v>243000</v>
      </c>
      <c r="F104" s="3">
        <v>24</v>
      </c>
      <c r="G104" s="5">
        <f t="shared" si="3"/>
        <v>10125</v>
      </c>
    </row>
    <row r="105" spans="3:7" ht="18" hidden="1" customHeight="1" outlineLevel="1" x14ac:dyDescent="0.35">
      <c r="C105" s="6" t="s">
        <v>132</v>
      </c>
      <c r="D105" s="3">
        <v>2</v>
      </c>
      <c r="E105" s="5">
        <v>6000</v>
      </c>
      <c r="F105" s="3">
        <v>24</v>
      </c>
      <c r="G105" s="5">
        <f t="shared" si="3"/>
        <v>250</v>
      </c>
    </row>
    <row r="106" spans="3:7" ht="18" hidden="1" customHeight="1" outlineLevel="1" x14ac:dyDescent="0.35">
      <c r="C106" s="6" t="s">
        <v>133</v>
      </c>
      <c r="D106" s="3">
        <v>2</v>
      </c>
      <c r="E106" s="5">
        <v>55000</v>
      </c>
      <c r="F106" s="3">
        <v>24</v>
      </c>
      <c r="G106" s="5">
        <f t="shared" si="3"/>
        <v>2291.6666666666665</v>
      </c>
    </row>
    <row r="107" spans="3:7" ht="18" hidden="1" customHeight="1" outlineLevel="1" x14ac:dyDescent="0.35">
      <c r="C107" s="6" t="s">
        <v>134</v>
      </c>
      <c r="D107" s="3">
        <v>2</v>
      </c>
      <c r="E107" s="5">
        <v>50000</v>
      </c>
      <c r="F107" s="3">
        <v>12</v>
      </c>
      <c r="G107" s="5">
        <f t="shared" si="3"/>
        <v>4166.666666666667</v>
      </c>
    </row>
    <row r="108" spans="3:7" ht="18" hidden="1" customHeight="1" outlineLevel="1" x14ac:dyDescent="0.35">
      <c r="C108" s="6" t="s">
        <v>135</v>
      </c>
      <c r="D108" s="3">
        <v>2</v>
      </c>
      <c r="E108" s="5">
        <v>13268</v>
      </c>
      <c r="F108" s="3">
        <v>12</v>
      </c>
      <c r="G108" s="5">
        <f t="shared" si="3"/>
        <v>1105.6666666666667</v>
      </c>
    </row>
    <row r="109" spans="3:7" ht="18" hidden="1" customHeight="1" outlineLevel="1" x14ac:dyDescent="0.35">
      <c r="C109" s="6" t="s">
        <v>136</v>
      </c>
      <c r="D109" s="3">
        <v>2</v>
      </c>
      <c r="E109" s="5">
        <v>30000</v>
      </c>
      <c r="F109" s="3">
        <v>24</v>
      </c>
      <c r="G109" s="5">
        <f t="shared" si="3"/>
        <v>1250</v>
      </c>
    </row>
    <row r="110" spans="3:7" ht="18" hidden="1" customHeight="1" outlineLevel="1" x14ac:dyDescent="0.35">
      <c r="C110" s="6" t="s">
        <v>137</v>
      </c>
      <c r="D110" s="3">
        <v>1</v>
      </c>
      <c r="E110" s="5">
        <v>65000</v>
      </c>
      <c r="F110" s="3">
        <v>12</v>
      </c>
      <c r="G110" s="5">
        <f t="shared" si="3"/>
        <v>5416.666666666667</v>
      </c>
    </row>
    <row r="111" spans="3:7" ht="18" hidden="1" customHeight="1" outlineLevel="1" x14ac:dyDescent="0.35">
      <c r="C111" s="6" t="s">
        <v>138</v>
      </c>
      <c r="D111" s="3">
        <v>1</v>
      </c>
      <c r="E111" s="5">
        <v>1</v>
      </c>
      <c r="F111" s="3">
        <v>12</v>
      </c>
      <c r="G111" s="5">
        <f t="shared" si="3"/>
        <v>8.3333333333333329E-2</v>
      </c>
    </row>
    <row r="112" spans="3:7" ht="18" hidden="1" customHeight="1" outlineLevel="1" x14ac:dyDescent="0.35">
      <c r="C112" s="6" t="s">
        <v>139</v>
      </c>
      <c r="D112" s="3">
        <v>1</v>
      </c>
      <c r="E112" s="5">
        <v>2500</v>
      </c>
      <c r="F112" s="3">
        <v>12</v>
      </c>
      <c r="G112" s="5">
        <f t="shared" si="3"/>
        <v>208.33333333333334</v>
      </c>
    </row>
    <row r="113" spans="3:7" hidden="1" x14ac:dyDescent="0.35">
      <c r="F113" s="29" t="s">
        <v>140</v>
      </c>
      <c r="G113" s="29">
        <f>SUM(G84:G112)</f>
        <v>518776.97222222231</v>
      </c>
    </row>
    <row r="114" spans="3:7" ht="15" hidden="1" thickBot="1" x14ac:dyDescent="0.4"/>
    <row r="115" spans="3:7" ht="15" hidden="1" thickBot="1" x14ac:dyDescent="0.4">
      <c r="C115" s="143" t="s">
        <v>141</v>
      </c>
      <c r="D115" s="144"/>
      <c r="E115" s="145"/>
      <c r="F115" s="39" t="s">
        <v>142</v>
      </c>
    </row>
    <row r="116" spans="3:7" hidden="1" outlineLevel="1" x14ac:dyDescent="0.35">
      <c r="C116" s="8" t="s">
        <v>77</v>
      </c>
      <c r="D116" s="8" t="s">
        <v>143</v>
      </c>
      <c r="E116" s="8" t="s">
        <v>4</v>
      </c>
    </row>
    <row r="117" spans="3:7" hidden="1" outlineLevel="1" x14ac:dyDescent="0.35">
      <c r="C117" s="40" t="s">
        <v>144</v>
      </c>
      <c r="D117" s="41">
        <v>1130000</v>
      </c>
      <c r="E117" s="3" t="s">
        <v>145</v>
      </c>
    </row>
    <row r="118" spans="3:7" hidden="1" outlineLevel="1" x14ac:dyDescent="0.35">
      <c r="C118" s="40" t="s">
        <v>146</v>
      </c>
      <c r="D118" s="41">
        <f>150000*2</f>
        <v>300000</v>
      </c>
      <c r="E118" s="3" t="s">
        <v>147</v>
      </c>
    </row>
    <row r="119" spans="3:7" hidden="1" outlineLevel="1" x14ac:dyDescent="0.35">
      <c r="C119" s="40" t="s">
        <v>148</v>
      </c>
      <c r="D119" s="41">
        <v>380000</v>
      </c>
      <c r="E119" s="3" t="s">
        <v>149</v>
      </c>
    </row>
    <row r="120" spans="3:7" hidden="1" outlineLevel="1" x14ac:dyDescent="0.35">
      <c r="C120" s="3" t="s">
        <v>150</v>
      </c>
      <c r="D120" s="2">
        <v>464.13888888888891</v>
      </c>
      <c r="E120" s="3"/>
    </row>
    <row r="121" spans="3:7" hidden="1" outlineLevel="1" x14ac:dyDescent="0.35">
      <c r="C121" s="3" t="s">
        <v>151</v>
      </c>
      <c r="D121" s="2">
        <v>464.13888888888891</v>
      </c>
      <c r="E121" s="3"/>
    </row>
    <row r="122" spans="3:7" hidden="1" outlineLevel="1" x14ac:dyDescent="0.35">
      <c r="C122" s="3" t="s">
        <v>152</v>
      </c>
      <c r="D122" s="2">
        <v>464.13888888888891</v>
      </c>
      <c r="E122" s="3"/>
    </row>
    <row r="123" spans="3:7" hidden="1" outlineLevel="1" x14ac:dyDescent="0.35">
      <c r="C123" s="3" t="s">
        <v>153</v>
      </c>
      <c r="D123" s="2">
        <v>89.986111111111114</v>
      </c>
      <c r="E123" s="3"/>
    </row>
    <row r="124" spans="3:7" hidden="1" outlineLevel="1" x14ac:dyDescent="0.35">
      <c r="C124" s="3" t="s">
        <v>154</v>
      </c>
      <c r="D124" s="2">
        <v>89.986111111111114</v>
      </c>
      <c r="E124" s="3"/>
    </row>
    <row r="125" spans="3:7" hidden="1" outlineLevel="1" x14ac:dyDescent="0.35">
      <c r="C125" s="3" t="s">
        <v>155</v>
      </c>
      <c r="D125" s="2">
        <v>28.416666666666668</v>
      </c>
      <c r="E125" s="3"/>
    </row>
    <row r="126" spans="3:7" hidden="1" outlineLevel="1" x14ac:dyDescent="0.35">
      <c r="C126" s="3" t="s">
        <v>156</v>
      </c>
      <c r="D126" s="2">
        <v>6944.4444444444443</v>
      </c>
      <c r="E126" s="3"/>
    </row>
    <row r="127" spans="3:7" hidden="1" x14ac:dyDescent="0.35">
      <c r="C127" s="42" t="s">
        <v>157</v>
      </c>
      <c r="D127" s="43">
        <f>D117+D118+D119</f>
        <v>1810000</v>
      </c>
    </row>
    <row r="128" spans="3:7" ht="15" thickBot="1" x14ac:dyDescent="0.4">
      <c r="C128" s="1"/>
      <c r="D128" s="44"/>
    </row>
    <row r="129" spans="3:9" ht="15" thickBot="1" x14ac:dyDescent="0.4">
      <c r="C129" s="134" t="s">
        <v>158</v>
      </c>
      <c r="D129" s="135"/>
      <c r="E129" s="135"/>
      <c r="F129" s="135"/>
      <c r="G129" s="135"/>
      <c r="H129" s="135"/>
      <c r="I129" s="136"/>
    </row>
    <row r="130" spans="3:9" ht="15" thickBot="1" x14ac:dyDescent="0.4">
      <c r="C130" s="46" t="s">
        <v>159</v>
      </c>
      <c r="D130" s="47" t="s">
        <v>160</v>
      </c>
      <c r="E130" s="47" t="s">
        <v>161</v>
      </c>
      <c r="F130" s="47" t="s">
        <v>107</v>
      </c>
      <c r="G130" s="47" t="s">
        <v>162</v>
      </c>
      <c r="H130" s="47" t="s">
        <v>143</v>
      </c>
      <c r="I130" s="48" t="s">
        <v>4</v>
      </c>
    </row>
    <row r="131" spans="3:9" ht="15" outlineLevel="1" thickBot="1" x14ac:dyDescent="0.4">
      <c r="C131" s="70" t="s">
        <v>163</v>
      </c>
      <c r="D131" s="71" t="s">
        <v>164</v>
      </c>
      <c r="E131" s="72">
        <v>46142</v>
      </c>
      <c r="F131" s="73">
        <v>1</v>
      </c>
      <c r="G131" s="74">
        <v>583128</v>
      </c>
      <c r="H131" s="49">
        <f>G131*F131</f>
        <v>583128</v>
      </c>
      <c r="I131" s="50" t="s">
        <v>165</v>
      </c>
    </row>
    <row r="132" spans="3:9" ht="15" outlineLevel="1" thickBot="1" x14ac:dyDescent="0.4">
      <c r="C132" s="75" t="s">
        <v>166</v>
      </c>
      <c r="D132" s="62" t="s">
        <v>164</v>
      </c>
      <c r="E132" s="72">
        <v>46142</v>
      </c>
      <c r="F132" s="64">
        <v>320</v>
      </c>
      <c r="G132" s="63">
        <v>5132.3999999999996</v>
      </c>
      <c r="H132" s="2">
        <f>G132*F132</f>
        <v>1642368</v>
      </c>
      <c r="I132" s="50" t="s">
        <v>165</v>
      </c>
    </row>
    <row r="133" spans="3:9" ht="15" outlineLevel="1" thickBot="1" x14ac:dyDescent="0.4">
      <c r="C133" s="76" t="s">
        <v>167</v>
      </c>
      <c r="D133" s="62" t="s">
        <v>164</v>
      </c>
      <c r="E133" s="72">
        <v>46142</v>
      </c>
      <c r="F133" s="77"/>
      <c r="G133" s="78">
        <v>1911000</v>
      </c>
      <c r="H133" s="45">
        <f>G133*F133</f>
        <v>0</v>
      </c>
      <c r="I133" s="51" t="s">
        <v>168</v>
      </c>
    </row>
    <row r="134" spans="3:9" ht="15" outlineLevel="1" thickBot="1" x14ac:dyDescent="0.4">
      <c r="C134" s="79" t="s">
        <v>169</v>
      </c>
      <c r="D134" s="80" t="s">
        <v>164</v>
      </c>
      <c r="E134" s="72">
        <v>46142</v>
      </c>
      <c r="F134" s="81">
        <v>2</v>
      </c>
      <c r="G134" s="82">
        <v>132132</v>
      </c>
      <c r="H134" s="52">
        <f>G134*F134</f>
        <v>264264</v>
      </c>
      <c r="I134" s="53" t="s">
        <v>165</v>
      </c>
    </row>
    <row r="135" spans="3:9" ht="15" thickBot="1" x14ac:dyDescent="0.4">
      <c r="E135" s="54"/>
      <c r="H135" s="55">
        <f>SUM(H131:H134)</f>
        <v>2489760</v>
      </c>
    </row>
    <row r="136" spans="3:9" x14ac:dyDescent="0.35">
      <c r="C136" s="56"/>
      <c r="D136" s="56"/>
      <c r="E136" s="56"/>
      <c r="F136" s="57"/>
      <c r="G136" s="57"/>
      <c r="H136" s="58"/>
      <c r="I136" s="57"/>
    </row>
    <row r="137" spans="3:9" x14ac:dyDescent="0.35">
      <c r="C137" s="134" t="s">
        <v>158</v>
      </c>
      <c r="D137" s="135"/>
      <c r="E137" s="135"/>
      <c r="F137" s="135"/>
      <c r="G137" s="135"/>
      <c r="H137" s="135"/>
      <c r="I137" s="136"/>
    </row>
    <row r="138" spans="3:9" x14ac:dyDescent="0.35">
      <c r="C138" s="46" t="s">
        <v>159</v>
      </c>
      <c r="D138" s="47" t="s">
        <v>160</v>
      </c>
      <c r="E138" s="47" t="s">
        <v>161</v>
      </c>
      <c r="F138" s="47" t="s">
        <v>107</v>
      </c>
      <c r="G138" s="47" t="s">
        <v>162</v>
      </c>
      <c r="H138" s="47" t="s">
        <v>143</v>
      </c>
      <c r="I138" s="48" t="s">
        <v>4</v>
      </c>
    </row>
    <row r="139" spans="3:9" x14ac:dyDescent="0.35">
      <c r="C139" s="70" t="s">
        <v>163</v>
      </c>
      <c r="D139" s="71" t="s">
        <v>170</v>
      </c>
      <c r="E139" s="72">
        <v>46142</v>
      </c>
      <c r="F139" s="73">
        <v>1</v>
      </c>
      <c r="G139" s="95">
        <v>243971</v>
      </c>
      <c r="H139" s="49">
        <f>G139*F139</f>
        <v>243971</v>
      </c>
      <c r="I139" s="50" t="s">
        <v>165</v>
      </c>
    </row>
    <row r="140" spans="3:9" x14ac:dyDescent="0.35">
      <c r="C140" s="75" t="s">
        <v>166</v>
      </c>
      <c r="D140" s="71" t="s">
        <v>170</v>
      </c>
      <c r="E140" s="72">
        <v>46142</v>
      </c>
      <c r="F140" s="64">
        <v>320</v>
      </c>
      <c r="G140" s="96">
        <v>5522</v>
      </c>
      <c r="H140" s="2">
        <f>G140*F140</f>
        <v>1767040</v>
      </c>
      <c r="I140" s="50" t="s">
        <v>165</v>
      </c>
    </row>
    <row r="141" spans="3:9" x14ac:dyDescent="0.35">
      <c r="C141" s="76" t="s">
        <v>171</v>
      </c>
      <c r="D141" s="71" t="s">
        <v>170</v>
      </c>
      <c r="E141" s="72">
        <v>46142</v>
      </c>
      <c r="F141" s="77"/>
      <c r="G141" s="97">
        <v>545111</v>
      </c>
      <c r="H141" s="2">
        <f t="shared" ref="H141:H142" si="4">G141*F141</f>
        <v>0</v>
      </c>
      <c r="I141" s="51" t="s">
        <v>168</v>
      </c>
    </row>
    <row r="142" spans="3:9" x14ac:dyDescent="0.35">
      <c r="C142" s="79" t="s">
        <v>169</v>
      </c>
      <c r="D142" s="71" t="s">
        <v>170</v>
      </c>
      <c r="E142" s="72">
        <v>46142</v>
      </c>
      <c r="F142" s="81">
        <v>2</v>
      </c>
      <c r="G142" s="82">
        <v>51200</v>
      </c>
      <c r="H142" s="2">
        <f t="shared" si="4"/>
        <v>102400</v>
      </c>
      <c r="I142" s="53" t="s">
        <v>165</v>
      </c>
    </row>
    <row r="143" spans="3:9" x14ac:dyDescent="0.35">
      <c r="E143" s="54"/>
      <c r="H143" s="55">
        <f>SUM(H139:H142)</f>
        <v>2113411</v>
      </c>
    </row>
    <row r="146" spans="2:3" x14ac:dyDescent="0.35">
      <c r="C146" t="s">
        <v>172</v>
      </c>
    </row>
    <row r="147" spans="2:3" x14ac:dyDescent="0.35">
      <c r="B147">
        <v>1</v>
      </c>
      <c r="C147" t="s">
        <v>173</v>
      </c>
    </row>
    <row r="148" spans="2:3" x14ac:dyDescent="0.35">
      <c r="B148">
        <v>2</v>
      </c>
      <c r="C148" t="s">
        <v>174</v>
      </c>
    </row>
    <row r="149" spans="2:3" x14ac:dyDescent="0.35">
      <c r="B149">
        <v>3</v>
      </c>
      <c r="C149" t="s">
        <v>175</v>
      </c>
    </row>
    <row r="150" spans="2:3" x14ac:dyDescent="0.35">
      <c r="B150">
        <v>4</v>
      </c>
      <c r="C150" t="s">
        <v>176</v>
      </c>
    </row>
    <row r="151" spans="2:3" x14ac:dyDescent="0.35">
      <c r="B151">
        <v>5</v>
      </c>
      <c r="C151" t="s">
        <v>177</v>
      </c>
    </row>
  </sheetData>
  <mergeCells count="6">
    <mergeCell ref="C137:I137"/>
    <mergeCell ref="C129:I129"/>
    <mergeCell ref="C29:H29"/>
    <mergeCell ref="C61:H61"/>
    <mergeCell ref="C82:G82"/>
    <mergeCell ref="C115:E115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C3FA-0A9D-420C-B7A4-D2BE0ABF78E5}">
  <dimension ref="C1:I105"/>
  <sheetViews>
    <sheetView topLeftCell="D19" workbookViewId="0">
      <selection activeCell="G16" sqref="G16"/>
    </sheetView>
  </sheetViews>
  <sheetFormatPr baseColWidth="10" defaultColWidth="8.7265625" defaultRowHeight="14.5" outlineLevelRow="1" x14ac:dyDescent="0.35"/>
  <cols>
    <col min="1" max="1" width="15.7265625" customWidth="1"/>
    <col min="2" max="2" width="16.81640625" customWidth="1"/>
    <col min="3" max="3" width="50.1796875" customWidth="1"/>
    <col min="4" max="4" width="22.26953125" bestFit="1" customWidth="1"/>
    <col min="5" max="5" width="33.54296875" customWidth="1"/>
    <col min="6" max="6" width="17.81640625" bestFit="1" customWidth="1"/>
    <col min="7" max="7" width="19.54296875" customWidth="1"/>
    <col min="8" max="8" width="63.81640625" customWidth="1"/>
    <col min="9" max="10" width="25.81640625" bestFit="1" customWidth="1"/>
    <col min="11" max="11" width="13.453125" customWidth="1"/>
    <col min="12" max="12" width="2.1796875" customWidth="1"/>
    <col min="13" max="13" width="9.54296875" customWidth="1"/>
  </cols>
  <sheetData>
    <row r="1" spans="3:9" x14ac:dyDescent="0.35">
      <c r="E1" s="107"/>
      <c r="F1" s="108"/>
      <c r="I1" s="99"/>
    </row>
    <row r="2" spans="3:9" x14ac:dyDescent="0.35">
      <c r="C2" s="126" t="s">
        <v>76</v>
      </c>
      <c r="D2" s="127"/>
      <c r="E2" s="127"/>
      <c r="F2" s="127"/>
      <c r="G2" s="127"/>
      <c r="H2" s="127"/>
    </row>
    <row r="3" spans="3:9" outlineLevel="1" x14ac:dyDescent="0.35">
      <c r="C3" s="109" t="s">
        <v>77</v>
      </c>
      <c r="D3" s="109" t="s">
        <v>78</v>
      </c>
      <c r="E3" s="109" t="s">
        <v>79</v>
      </c>
      <c r="F3" s="109" t="s">
        <v>2</v>
      </c>
      <c r="G3" s="109" t="s">
        <v>3</v>
      </c>
      <c r="H3" s="109" t="s">
        <v>4</v>
      </c>
    </row>
    <row r="4" spans="3:9" outlineLevel="1" x14ac:dyDescent="0.35">
      <c r="C4" s="65" t="s">
        <v>80</v>
      </c>
      <c r="D4" s="66">
        <v>40150</v>
      </c>
      <c r="E4" s="68">
        <f>D4</f>
        <v>40150</v>
      </c>
      <c r="F4" s="67">
        <v>60</v>
      </c>
      <c r="G4" s="23">
        <f t="shared" ref="G4:G19" si="0">D4/F4</f>
        <v>669.16666666666663</v>
      </c>
      <c r="H4" s="16" t="s">
        <v>178</v>
      </c>
      <c r="I4" s="33"/>
    </row>
    <row r="5" spans="3:9" outlineLevel="1" x14ac:dyDescent="0.35">
      <c r="C5" s="65" t="s">
        <v>82</v>
      </c>
      <c r="D5" s="66">
        <v>43150</v>
      </c>
      <c r="E5" s="68">
        <f>D5</f>
        <v>43150</v>
      </c>
      <c r="F5" s="67">
        <v>60</v>
      </c>
      <c r="G5" s="23">
        <f t="shared" si="0"/>
        <v>719.16666666666663</v>
      </c>
      <c r="H5" s="16" t="s">
        <v>179</v>
      </c>
      <c r="I5" s="33"/>
    </row>
    <row r="6" spans="3:9" outlineLevel="1" x14ac:dyDescent="0.35">
      <c r="C6" s="65" t="s">
        <v>84</v>
      </c>
      <c r="D6" s="66">
        <v>1400</v>
      </c>
      <c r="E6" s="66"/>
      <c r="F6" s="67">
        <v>1</v>
      </c>
      <c r="G6" s="23">
        <f t="shared" si="0"/>
        <v>1400</v>
      </c>
      <c r="H6" s="16" t="s">
        <v>85</v>
      </c>
    </row>
    <row r="7" spans="3:9" outlineLevel="1" x14ac:dyDescent="0.35">
      <c r="C7" s="65" t="s">
        <v>86</v>
      </c>
      <c r="D7" s="66">
        <v>1400</v>
      </c>
      <c r="E7" s="66"/>
      <c r="F7" s="67">
        <v>1</v>
      </c>
      <c r="G7" s="23">
        <f t="shared" si="0"/>
        <v>1400</v>
      </c>
      <c r="H7" s="16" t="s">
        <v>85</v>
      </c>
    </row>
    <row r="8" spans="3:9" outlineLevel="1" x14ac:dyDescent="0.35">
      <c r="C8" s="65" t="s">
        <v>87</v>
      </c>
      <c r="D8" s="66">
        <v>430000</v>
      </c>
      <c r="E8" s="68">
        <f>D8</f>
        <v>430000</v>
      </c>
      <c r="F8" s="67">
        <v>24</v>
      </c>
      <c r="G8" s="23">
        <f t="shared" si="0"/>
        <v>17916.666666666668</v>
      </c>
      <c r="H8" s="16"/>
    </row>
    <row r="9" spans="3:9" outlineLevel="1" x14ac:dyDescent="0.35">
      <c r="C9" s="65" t="s">
        <v>88</v>
      </c>
      <c r="D9" s="66">
        <v>187865</v>
      </c>
      <c r="E9" s="68">
        <f>D9</f>
        <v>187865</v>
      </c>
      <c r="F9" s="67">
        <v>1</v>
      </c>
      <c r="G9" s="23">
        <f t="shared" si="0"/>
        <v>187865</v>
      </c>
      <c r="H9" s="16" t="s">
        <v>180</v>
      </c>
    </row>
    <row r="10" spans="3:9" outlineLevel="1" x14ac:dyDescent="0.35">
      <c r="C10" s="65" t="s">
        <v>89</v>
      </c>
      <c r="D10" s="66">
        <v>76250</v>
      </c>
      <c r="E10" s="66"/>
      <c r="F10" s="67">
        <v>12</v>
      </c>
      <c r="G10" s="23">
        <f t="shared" si="0"/>
        <v>6354.166666666667</v>
      </c>
      <c r="H10" s="16" t="s">
        <v>90</v>
      </c>
    </row>
    <row r="11" spans="3:9" outlineLevel="1" x14ac:dyDescent="0.35">
      <c r="C11" s="65" t="s">
        <v>91</v>
      </c>
      <c r="D11" s="66">
        <v>182070</v>
      </c>
      <c r="E11" s="66"/>
      <c r="F11" s="67">
        <v>3</v>
      </c>
      <c r="G11" s="23">
        <f t="shared" si="0"/>
        <v>60690</v>
      </c>
      <c r="H11" s="16" t="s">
        <v>92</v>
      </c>
    </row>
    <row r="12" spans="3:9" outlineLevel="1" x14ac:dyDescent="0.35">
      <c r="C12" s="65" t="s">
        <v>93</v>
      </c>
      <c r="D12" s="66">
        <v>349000</v>
      </c>
      <c r="E12" s="66"/>
      <c r="F12" s="67">
        <v>12</v>
      </c>
      <c r="G12" s="23">
        <f t="shared" si="0"/>
        <v>29083.333333333332</v>
      </c>
      <c r="H12" s="16" t="s">
        <v>94</v>
      </c>
    </row>
    <row r="13" spans="3:9" outlineLevel="1" x14ac:dyDescent="0.35">
      <c r="C13" s="65" t="s">
        <v>95</v>
      </c>
      <c r="D13" s="66">
        <v>165000</v>
      </c>
      <c r="E13" s="66"/>
      <c r="F13" s="67">
        <v>8</v>
      </c>
      <c r="G13" s="23">
        <f t="shared" si="0"/>
        <v>20625</v>
      </c>
      <c r="H13" s="16" t="s">
        <v>96</v>
      </c>
    </row>
    <row r="14" spans="3:9" outlineLevel="1" x14ac:dyDescent="0.35">
      <c r="C14" s="65" t="s">
        <v>97</v>
      </c>
      <c r="D14" s="66">
        <v>86250</v>
      </c>
      <c r="E14" s="66"/>
      <c r="F14" s="67">
        <v>12</v>
      </c>
      <c r="G14" s="23">
        <f t="shared" si="0"/>
        <v>7187.5</v>
      </c>
      <c r="H14" s="16"/>
    </row>
    <row r="15" spans="3:9" outlineLevel="1" x14ac:dyDescent="0.35">
      <c r="C15" s="65" t="s">
        <v>98</v>
      </c>
      <c r="D15" s="66">
        <v>200000</v>
      </c>
      <c r="E15" s="66"/>
      <c r="F15" s="67">
        <v>24</v>
      </c>
      <c r="G15" s="23">
        <f t="shared" si="0"/>
        <v>8333.3333333333339</v>
      </c>
      <c r="H15" s="16"/>
    </row>
    <row r="16" spans="3:9" outlineLevel="1" x14ac:dyDescent="0.35">
      <c r="C16" s="65" t="s">
        <v>99</v>
      </c>
      <c r="D16" s="66">
        <v>731000</v>
      </c>
      <c r="E16" s="66"/>
      <c r="F16" s="67">
        <v>36</v>
      </c>
      <c r="G16" s="23">
        <f t="shared" si="0"/>
        <v>20305.555555555555</v>
      </c>
      <c r="H16" s="16"/>
    </row>
    <row r="17" spans="3:8" outlineLevel="1" x14ac:dyDescent="0.35">
      <c r="C17" s="69" t="s">
        <v>100</v>
      </c>
      <c r="D17" s="84">
        <v>65000</v>
      </c>
      <c r="E17" s="84"/>
      <c r="F17" s="85">
        <v>12</v>
      </c>
      <c r="G17" s="87">
        <f t="shared" si="0"/>
        <v>5416.666666666667</v>
      </c>
      <c r="H17" s="88"/>
    </row>
    <row r="18" spans="3:8" outlineLevel="1" x14ac:dyDescent="0.35">
      <c r="C18" s="65" t="s">
        <v>101</v>
      </c>
      <c r="D18" s="66">
        <v>240000</v>
      </c>
      <c r="E18" s="65"/>
      <c r="F18" s="67">
        <v>12</v>
      </c>
      <c r="G18" s="87">
        <f t="shared" si="0"/>
        <v>20000</v>
      </c>
      <c r="H18" s="16" t="s">
        <v>102</v>
      </c>
    </row>
    <row r="19" spans="3:8" outlineLevel="1" x14ac:dyDescent="0.35">
      <c r="C19" s="69" t="s">
        <v>103</v>
      </c>
      <c r="D19" s="84">
        <v>65702.460000000006</v>
      </c>
      <c r="E19" s="69"/>
      <c r="F19" s="85">
        <v>12</v>
      </c>
      <c r="G19" s="87">
        <f t="shared" si="0"/>
        <v>5475.2050000000008</v>
      </c>
      <c r="H19" s="88"/>
    </row>
    <row r="20" spans="3:8" outlineLevel="1" x14ac:dyDescent="0.35">
      <c r="C20" s="83" t="s">
        <v>38</v>
      </c>
      <c r="D20" s="23"/>
      <c r="E20" s="83"/>
      <c r="F20" s="14"/>
      <c r="G20" s="23"/>
      <c r="H20" s="16" t="s">
        <v>181</v>
      </c>
    </row>
    <row r="21" spans="3:8" outlineLevel="1" x14ac:dyDescent="0.35">
      <c r="D21" s="100"/>
      <c r="E21" s="110">
        <f>SUM(E8:E17)</f>
        <v>617865</v>
      </c>
      <c r="F21" s="34"/>
      <c r="G21" s="100"/>
      <c r="H21" s="20"/>
    </row>
    <row r="23" spans="3:8" hidden="1" x14ac:dyDescent="0.35">
      <c r="C23" s="128" t="s">
        <v>104</v>
      </c>
      <c r="D23" s="129"/>
      <c r="E23" s="129"/>
      <c r="F23" s="129"/>
      <c r="G23" s="130"/>
      <c r="H23" s="33" t="s">
        <v>105</v>
      </c>
    </row>
    <row r="24" spans="3:8" hidden="1" outlineLevel="1" x14ac:dyDescent="0.35">
      <c r="C24" s="111" t="s">
        <v>106</v>
      </c>
      <c r="D24" s="98" t="s">
        <v>107</v>
      </c>
      <c r="E24" s="98" t="s">
        <v>108</v>
      </c>
      <c r="F24" s="98" t="s">
        <v>109</v>
      </c>
      <c r="G24" s="98" t="s">
        <v>110</v>
      </c>
    </row>
    <row r="25" spans="3:8" hidden="1" outlineLevel="1" x14ac:dyDescent="0.35">
      <c r="C25" s="6" t="s">
        <v>111</v>
      </c>
      <c r="D25" s="3">
        <v>2</v>
      </c>
      <c r="E25" s="5">
        <v>1000000</v>
      </c>
      <c r="F25" s="3">
        <v>24</v>
      </c>
      <c r="G25" s="5">
        <f t="shared" ref="G25:G53" si="1">E25/F25</f>
        <v>41666.666666666664</v>
      </c>
    </row>
    <row r="26" spans="3:8" hidden="1" outlineLevel="1" x14ac:dyDescent="0.35">
      <c r="C26" s="6" t="s">
        <v>112</v>
      </c>
      <c r="D26" s="3">
        <v>2</v>
      </c>
      <c r="E26" s="5">
        <v>370000</v>
      </c>
      <c r="F26" s="3">
        <v>12</v>
      </c>
      <c r="G26" s="5">
        <f t="shared" si="1"/>
        <v>30833.333333333332</v>
      </c>
    </row>
    <row r="27" spans="3:8" hidden="1" outlineLevel="1" x14ac:dyDescent="0.35">
      <c r="C27" s="6" t="s">
        <v>113</v>
      </c>
      <c r="D27" s="3">
        <v>2</v>
      </c>
      <c r="E27" s="5">
        <v>1100000</v>
      </c>
      <c r="F27" s="3">
        <v>12</v>
      </c>
      <c r="G27" s="5">
        <f t="shared" si="1"/>
        <v>91666.666666666672</v>
      </c>
    </row>
    <row r="28" spans="3:8" hidden="1" outlineLevel="1" x14ac:dyDescent="0.35">
      <c r="C28" s="6" t="s">
        <v>114</v>
      </c>
      <c r="D28" s="3">
        <v>1</v>
      </c>
      <c r="E28" s="5">
        <v>1200</v>
      </c>
      <c r="F28" s="3">
        <v>24</v>
      </c>
      <c r="G28" s="5">
        <f t="shared" si="1"/>
        <v>50</v>
      </c>
    </row>
    <row r="29" spans="3:8" hidden="1" outlineLevel="1" x14ac:dyDescent="0.35">
      <c r="C29" s="6" t="s">
        <v>115</v>
      </c>
      <c r="D29" s="3">
        <v>4</v>
      </c>
      <c r="E29" s="5">
        <v>300000</v>
      </c>
      <c r="F29" s="3">
        <v>6</v>
      </c>
      <c r="G29" s="5">
        <f t="shared" si="1"/>
        <v>50000</v>
      </c>
    </row>
    <row r="30" spans="3:8" hidden="1" outlineLevel="1" x14ac:dyDescent="0.35">
      <c r="C30" s="6" t="s">
        <v>116</v>
      </c>
      <c r="D30" s="3">
        <v>2</v>
      </c>
      <c r="E30" s="5">
        <v>859392</v>
      </c>
      <c r="F30" s="3">
        <v>12</v>
      </c>
      <c r="G30" s="5">
        <f t="shared" si="1"/>
        <v>71616</v>
      </c>
    </row>
    <row r="31" spans="3:8" ht="18" hidden="1" customHeight="1" outlineLevel="1" x14ac:dyDescent="0.35">
      <c r="C31" s="6" t="s">
        <v>117</v>
      </c>
      <c r="D31" s="3">
        <v>2</v>
      </c>
      <c r="E31" s="5">
        <v>70000</v>
      </c>
      <c r="F31" s="3">
        <v>12</v>
      </c>
      <c r="G31" s="5">
        <f t="shared" si="1"/>
        <v>5833.333333333333</v>
      </c>
    </row>
    <row r="32" spans="3:8" ht="18" hidden="1" customHeight="1" outlineLevel="1" x14ac:dyDescent="0.35">
      <c r="C32" s="6" t="s">
        <v>118</v>
      </c>
      <c r="D32" s="3">
        <v>2</v>
      </c>
      <c r="E32" s="5">
        <v>225000</v>
      </c>
      <c r="F32" s="3">
        <v>24</v>
      </c>
      <c r="G32" s="5">
        <f t="shared" si="1"/>
        <v>9375</v>
      </c>
    </row>
    <row r="33" spans="3:7" ht="18" hidden="1" customHeight="1" outlineLevel="1" x14ac:dyDescent="0.35">
      <c r="C33" s="6" t="s">
        <v>119</v>
      </c>
      <c r="D33" s="3">
        <v>2</v>
      </c>
      <c r="E33" s="5">
        <v>230000</v>
      </c>
      <c r="F33" s="3">
        <v>12</v>
      </c>
      <c r="G33" s="5">
        <f t="shared" si="1"/>
        <v>19166.666666666668</v>
      </c>
    </row>
    <row r="34" spans="3:7" ht="18" hidden="1" customHeight="1" outlineLevel="1" x14ac:dyDescent="0.35">
      <c r="C34" s="6" t="s">
        <v>120</v>
      </c>
      <c r="D34" s="3">
        <v>5</v>
      </c>
      <c r="E34" s="5">
        <v>3200</v>
      </c>
      <c r="F34" s="3">
        <v>12</v>
      </c>
      <c r="G34" s="5">
        <f t="shared" si="1"/>
        <v>266.66666666666669</v>
      </c>
    </row>
    <row r="35" spans="3:7" ht="18" hidden="1" customHeight="1" outlineLevel="1" x14ac:dyDescent="0.35">
      <c r="C35" s="6" t="s">
        <v>121</v>
      </c>
      <c r="D35" s="3">
        <v>2</v>
      </c>
      <c r="E35" s="5">
        <v>3000</v>
      </c>
      <c r="F35" s="3">
        <v>12</v>
      </c>
      <c r="G35" s="5">
        <f t="shared" si="1"/>
        <v>250</v>
      </c>
    </row>
    <row r="36" spans="3:7" ht="18" hidden="1" customHeight="1" outlineLevel="1" x14ac:dyDescent="0.35">
      <c r="C36" s="6" t="s">
        <v>122</v>
      </c>
      <c r="D36" s="3">
        <v>2</v>
      </c>
      <c r="E36" s="5">
        <v>253</v>
      </c>
      <c r="F36" s="3">
        <v>12</v>
      </c>
      <c r="G36" s="5">
        <f t="shared" si="1"/>
        <v>21.083333333333332</v>
      </c>
    </row>
    <row r="37" spans="3:7" ht="18" hidden="1" customHeight="1" outlineLevel="1" x14ac:dyDescent="0.35">
      <c r="C37" s="6" t="s">
        <v>123</v>
      </c>
      <c r="D37" s="3">
        <v>1</v>
      </c>
      <c r="E37" s="5">
        <v>833</v>
      </c>
      <c r="F37" s="3">
        <v>36</v>
      </c>
      <c r="G37" s="5">
        <f t="shared" si="1"/>
        <v>23.138888888888889</v>
      </c>
    </row>
    <row r="38" spans="3:7" ht="18" hidden="1" customHeight="1" outlineLevel="1" x14ac:dyDescent="0.35">
      <c r="C38" s="6" t="s">
        <v>124</v>
      </c>
      <c r="D38" s="3">
        <v>1</v>
      </c>
      <c r="E38" s="5">
        <v>680</v>
      </c>
      <c r="F38" s="3">
        <v>12</v>
      </c>
      <c r="G38" s="5">
        <f t="shared" si="1"/>
        <v>56.666666666666664</v>
      </c>
    </row>
    <row r="39" spans="3:7" ht="18" hidden="1" customHeight="1" outlineLevel="1" x14ac:dyDescent="0.35">
      <c r="C39" s="6" t="s">
        <v>125</v>
      </c>
      <c r="D39" s="3">
        <v>3</v>
      </c>
      <c r="E39" s="5">
        <v>126765</v>
      </c>
      <c r="F39" s="3">
        <v>1</v>
      </c>
      <c r="G39" s="5">
        <f t="shared" si="1"/>
        <v>126765</v>
      </c>
    </row>
    <row r="40" spans="3:7" ht="18" hidden="1" customHeight="1" outlineLevel="1" x14ac:dyDescent="0.35">
      <c r="C40" s="36" t="s">
        <v>126</v>
      </c>
      <c r="D40" s="3">
        <v>1</v>
      </c>
      <c r="E40" s="5">
        <v>85511</v>
      </c>
      <c r="F40" s="37">
        <v>24</v>
      </c>
      <c r="G40" s="38">
        <f t="shared" si="1"/>
        <v>3562.9583333333335</v>
      </c>
    </row>
    <row r="41" spans="3:7" ht="18" hidden="1" customHeight="1" outlineLevel="1" x14ac:dyDescent="0.35">
      <c r="C41" s="6" t="s">
        <v>127</v>
      </c>
      <c r="D41" s="3">
        <v>2</v>
      </c>
      <c r="E41" s="5">
        <v>9433</v>
      </c>
      <c r="F41" s="3">
        <v>24</v>
      </c>
      <c r="G41" s="5">
        <f t="shared" si="1"/>
        <v>393.04166666666669</v>
      </c>
    </row>
    <row r="42" spans="3:7" ht="18" hidden="1" customHeight="1" outlineLevel="1" x14ac:dyDescent="0.35">
      <c r="C42" s="6" t="s">
        <v>128</v>
      </c>
      <c r="D42" s="3">
        <v>2</v>
      </c>
      <c r="E42" s="5">
        <v>1000000</v>
      </c>
      <c r="F42" s="3">
        <v>24</v>
      </c>
      <c r="G42" s="5">
        <f t="shared" si="1"/>
        <v>41666.666666666664</v>
      </c>
    </row>
    <row r="43" spans="3:7" ht="18" hidden="1" customHeight="1" outlineLevel="1" x14ac:dyDescent="0.35">
      <c r="C43" s="6" t="s">
        <v>129</v>
      </c>
      <c r="D43" s="3">
        <v>1</v>
      </c>
      <c r="E43" s="5">
        <v>8000</v>
      </c>
      <c r="F43" s="3">
        <v>24</v>
      </c>
      <c r="G43" s="5">
        <f t="shared" si="1"/>
        <v>333.33333333333331</v>
      </c>
    </row>
    <row r="44" spans="3:7" ht="18" hidden="1" customHeight="1" outlineLevel="1" x14ac:dyDescent="0.35">
      <c r="C44" s="6" t="s">
        <v>130</v>
      </c>
      <c r="D44" s="3">
        <v>1</v>
      </c>
      <c r="E44" s="5">
        <v>5000</v>
      </c>
      <c r="F44" s="3">
        <v>12</v>
      </c>
      <c r="G44" s="5">
        <f t="shared" si="1"/>
        <v>416.66666666666669</v>
      </c>
    </row>
    <row r="45" spans="3:7" ht="18" hidden="1" customHeight="1" outlineLevel="1" x14ac:dyDescent="0.35">
      <c r="C45" s="6" t="s">
        <v>131</v>
      </c>
      <c r="D45" s="3">
        <v>1</v>
      </c>
      <c r="E45" s="5">
        <v>243000</v>
      </c>
      <c r="F45" s="3">
        <v>24</v>
      </c>
      <c r="G45" s="5">
        <f t="shared" si="1"/>
        <v>10125</v>
      </c>
    </row>
    <row r="46" spans="3:7" ht="18" hidden="1" customHeight="1" outlineLevel="1" x14ac:dyDescent="0.35">
      <c r="C46" s="6" t="s">
        <v>132</v>
      </c>
      <c r="D46" s="3">
        <v>2</v>
      </c>
      <c r="E46" s="5">
        <v>6000</v>
      </c>
      <c r="F46" s="3">
        <v>24</v>
      </c>
      <c r="G46" s="5">
        <f t="shared" si="1"/>
        <v>250</v>
      </c>
    </row>
    <row r="47" spans="3:7" ht="18" hidden="1" customHeight="1" outlineLevel="1" x14ac:dyDescent="0.35">
      <c r="C47" s="6" t="s">
        <v>133</v>
      </c>
      <c r="D47" s="3">
        <v>2</v>
      </c>
      <c r="E47" s="5">
        <v>55000</v>
      </c>
      <c r="F47" s="3">
        <v>24</v>
      </c>
      <c r="G47" s="5">
        <f t="shared" si="1"/>
        <v>2291.6666666666665</v>
      </c>
    </row>
    <row r="48" spans="3:7" ht="18" hidden="1" customHeight="1" outlineLevel="1" x14ac:dyDescent="0.35">
      <c r="C48" s="6" t="s">
        <v>134</v>
      </c>
      <c r="D48" s="3">
        <v>2</v>
      </c>
      <c r="E48" s="5">
        <v>50000</v>
      </c>
      <c r="F48" s="3">
        <v>12</v>
      </c>
      <c r="G48" s="5">
        <f t="shared" si="1"/>
        <v>4166.666666666667</v>
      </c>
    </row>
    <row r="49" spans="3:7" ht="18" hidden="1" customHeight="1" outlineLevel="1" x14ac:dyDescent="0.35">
      <c r="C49" s="6" t="s">
        <v>135</v>
      </c>
      <c r="D49" s="3">
        <v>2</v>
      </c>
      <c r="E49" s="5">
        <v>13268</v>
      </c>
      <c r="F49" s="3">
        <v>12</v>
      </c>
      <c r="G49" s="5">
        <f t="shared" si="1"/>
        <v>1105.6666666666667</v>
      </c>
    </row>
    <row r="50" spans="3:7" ht="18" hidden="1" customHeight="1" outlineLevel="1" x14ac:dyDescent="0.35">
      <c r="C50" s="6" t="s">
        <v>136</v>
      </c>
      <c r="D50" s="3">
        <v>2</v>
      </c>
      <c r="E50" s="5">
        <v>30000</v>
      </c>
      <c r="F50" s="3">
        <v>24</v>
      </c>
      <c r="G50" s="5">
        <f t="shared" si="1"/>
        <v>1250</v>
      </c>
    </row>
    <row r="51" spans="3:7" ht="18" hidden="1" customHeight="1" outlineLevel="1" x14ac:dyDescent="0.35">
      <c r="C51" s="6" t="s">
        <v>137</v>
      </c>
      <c r="D51" s="3">
        <v>1</v>
      </c>
      <c r="E51" s="5">
        <v>65000</v>
      </c>
      <c r="F51" s="3">
        <v>12</v>
      </c>
      <c r="G51" s="5">
        <f t="shared" si="1"/>
        <v>5416.666666666667</v>
      </c>
    </row>
    <row r="52" spans="3:7" ht="18" hidden="1" customHeight="1" outlineLevel="1" x14ac:dyDescent="0.35">
      <c r="C52" s="6" t="s">
        <v>138</v>
      </c>
      <c r="D52" s="3">
        <v>1</v>
      </c>
      <c r="E52" s="5">
        <v>1</v>
      </c>
      <c r="F52" s="3">
        <v>12</v>
      </c>
      <c r="G52" s="5">
        <f t="shared" si="1"/>
        <v>8.3333333333333329E-2</v>
      </c>
    </row>
    <row r="53" spans="3:7" ht="18" hidden="1" customHeight="1" outlineLevel="1" x14ac:dyDescent="0.35">
      <c r="C53" s="6" t="s">
        <v>139</v>
      </c>
      <c r="D53" s="3">
        <v>1</v>
      </c>
      <c r="E53" s="5">
        <v>2500</v>
      </c>
      <c r="F53" s="3">
        <v>12</v>
      </c>
      <c r="G53" s="5">
        <f t="shared" si="1"/>
        <v>208.33333333333334</v>
      </c>
    </row>
    <row r="54" spans="3:7" hidden="1" collapsed="1" x14ac:dyDescent="0.35">
      <c r="F54" s="106" t="s">
        <v>140</v>
      </c>
      <c r="G54" s="106">
        <f>SUM(G25:G53)</f>
        <v>518776.97222222231</v>
      </c>
    </row>
    <row r="55" spans="3:7" hidden="1" x14ac:dyDescent="0.35"/>
    <row r="56" spans="3:7" hidden="1" x14ac:dyDescent="0.35">
      <c r="C56" s="131" t="s">
        <v>141</v>
      </c>
      <c r="D56" s="132"/>
      <c r="E56" s="133"/>
      <c r="F56" s="112" t="s">
        <v>142</v>
      </c>
    </row>
    <row r="57" spans="3:7" hidden="1" outlineLevel="1" x14ac:dyDescent="0.35">
      <c r="C57" s="98" t="s">
        <v>77</v>
      </c>
      <c r="D57" s="98" t="s">
        <v>143</v>
      </c>
      <c r="E57" s="98" t="s">
        <v>4</v>
      </c>
    </row>
    <row r="58" spans="3:7" hidden="1" outlineLevel="1" x14ac:dyDescent="0.35">
      <c r="C58" s="40" t="s">
        <v>144</v>
      </c>
      <c r="D58" s="41">
        <v>1130000</v>
      </c>
      <c r="E58" s="3" t="s">
        <v>145</v>
      </c>
    </row>
    <row r="59" spans="3:7" hidden="1" outlineLevel="1" x14ac:dyDescent="0.35">
      <c r="C59" s="40" t="s">
        <v>146</v>
      </c>
      <c r="D59" s="41">
        <f>150000*2</f>
        <v>300000</v>
      </c>
      <c r="E59" s="3" t="s">
        <v>147</v>
      </c>
    </row>
    <row r="60" spans="3:7" hidden="1" outlineLevel="1" x14ac:dyDescent="0.35">
      <c r="C60" s="40" t="s">
        <v>148</v>
      </c>
      <c r="D60" s="41">
        <v>380000</v>
      </c>
      <c r="E60" s="3" t="s">
        <v>149</v>
      </c>
    </row>
    <row r="61" spans="3:7" hidden="1" outlineLevel="1" x14ac:dyDescent="0.35">
      <c r="C61" s="3" t="s">
        <v>150</v>
      </c>
      <c r="D61" s="2">
        <v>464.13888888888891</v>
      </c>
      <c r="E61" s="3"/>
    </row>
    <row r="62" spans="3:7" hidden="1" outlineLevel="1" x14ac:dyDescent="0.35">
      <c r="C62" s="3" t="s">
        <v>151</v>
      </c>
      <c r="D62" s="2">
        <v>464.13888888888891</v>
      </c>
      <c r="E62" s="3"/>
    </row>
    <row r="63" spans="3:7" hidden="1" outlineLevel="1" x14ac:dyDescent="0.35">
      <c r="C63" s="3" t="s">
        <v>152</v>
      </c>
      <c r="D63" s="2">
        <v>464.13888888888891</v>
      </c>
      <c r="E63" s="3"/>
    </row>
    <row r="64" spans="3:7" hidden="1" outlineLevel="1" x14ac:dyDescent="0.35">
      <c r="C64" s="3" t="s">
        <v>153</v>
      </c>
      <c r="D64" s="2">
        <v>89.986111111111114</v>
      </c>
      <c r="E64" s="3"/>
    </row>
    <row r="65" spans="3:9" hidden="1" outlineLevel="1" x14ac:dyDescent="0.35">
      <c r="C65" s="3" t="s">
        <v>154</v>
      </c>
      <c r="D65" s="2">
        <v>89.986111111111114</v>
      </c>
      <c r="E65" s="3"/>
    </row>
    <row r="66" spans="3:9" hidden="1" outlineLevel="1" x14ac:dyDescent="0.35">
      <c r="C66" s="3" t="s">
        <v>155</v>
      </c>
      <c r="D66" s="2">
        <v>28.416666666666668</v>
      </c>
      <c r="E66" s="3"/>
    </row>
    <row r="67" spans="3:9" hidden="1" outlineLevel="1" x14ac:dyDescent="0.35">
      <c r="C67" s="3" t="s">
        <v>156</v>
      </c>
      <c r="D67" s="2">
        <v>6944.4444444444443</v>
      </c>
      <c r="E67" s="3"/>
    </row>
    <row r="68" spans="3:9" hidden="1" collapsed="1" x14ac:dyDescent="0.35">
      <c r="C68" s="42" t="s">
        <v>157</v>
      </c>
      <c r="D68" s="43">
        <f>D58+D59+D60</f>
        <v>1810000</v>
      </c>
    </row>
    <row r="70" spans="3:9" x14ac:dyDescent="0.35">
      <c r="C70" s="134" t="s">
        <v>158</v>
      </c>
      <c r="D70" s="135"/>
      <c r="E70" s="135"/>
      <c r="F70" s="135"/>
      <c r="G70" s="135"/>
      <c r="H70" s="135"/>
      <c r="I70" s="136"/>
    </row>
    <row r="71" spans="3:9" x14ac:dyDescent="0.35">
      <c r="C71" s="113" t="s">
        <v>159</v>
      </c>
      <c r="D71" s="114" t="s">
        <v>160</v>
      </c>
      <c r="E71" s="114" t="s">
        <v>161</v>
      </c>
      <c r="F71" s="114" t="s">
        <v>107</v>
      </c>
      <c r="G71" s="114" t="s">
        <v>162</v>
      </c>
      <c r="H71" s="114" t="s">
        <v>143</v>
      </c>
      <c r="I71" s="115" t="s">
        <v>4</v>
      </c>
    </row>
    <row r="72" spans="3:9" outlineLevel="1" x14ac:dyDescent="0.35">
      <c r="C72" s="70" t="s">
        <v>163</v>
      </c>
      <c r="D72" s="71" t="s">
        <v>164</v>
      </c>
      <c r="E72" s="72">
        <v>46142</v>
      </c>
      <c r="F72" s="73">
        <v>1</v>
      </c>
      <c r="G72" s="74">
        <v>583128</v>
      </c>
      <c r="H72" s="49">
        <f>G72*F72</f>
        <v>583128</v>
      </c>
      <c r="I72" s="50" t="s">
        <v>165</v>
      </c>
    </row>
    <row r="73" spans="3:9" outlineLevel="1" x14ac:dyDescent="0.35">
      <c r="C73" s="75" t="s">
        <v>166</v>
      </c>
      <c r="D73" s="62" t="s">
        <v>164</v>
      </c>
      <c r="E73" s="72">
        <v>46142</v>
      </c>
      <c r="F73" s="64">
        <v>320</v>
      </c>
      <c r="G73" s="63">
        <v>5132.3999999999996</v>
      </c>
      <c r="H73" s="2">
        <f>G73*F73</f>
        <v>1642368</v>
      </c>
      <c r="I73" s="50" t="s">
        <v>165</v>
      </c>
    </row>
    <row r="74" spans="3:9" outlineLevel="1" x14ac:dyDescent="0.35">
      <c r="C74" s="76" t="s">
        <v>167</v>
      </c>
      <c r="D74" s="62" t="s">
        <v>164</v>
      </c>
      <c r="E74" s="72">
        <v>46142</v>
      </c>
      <c r="F74" s="77"/>
      <c r="G74" s="78">
        <v>1911000</v>
      </c>
      <c r="H74" s="45">
        <f>G74*F74</f>
        <v>0</v>
      </c>
      <c r="I74" s="51" t="s">
        <v>168</v>
      </c>
    </row>
    <row r="75" spans="3:9" outlineLevel="1" x14ac:dyDescent="0.35">
      <c r="C75" s="79" t="s">
        <v>169</v>
      </c>
      <c r="D75" s="80" t="s">
        <v>164</v>
      </c>
      <c r="E75" s="72">
        <v>46142</v>
      </c>
      <c r="F75" s="81">
        <v>2</v>
      </c>
      <c r="G75" s="82">
        <v>132132</v>
      </c>
      <c r="H75" s="52">
        <f>G75*F75</f>
        <v>264264</v>
      </c>
      <c r="I75" s="53" t="s">
        <v>165</v>
      </c>
    </row>
    <row r="76" spans="3:9" x14ac:dyDescent="0.35">
      <c r="E76" s="54"/>
      <c r="H76" s="55">
        <f>SUM(H72:H75)</f>
        <v>2489760</v>
      </c>
    </row>
    <row r="77" spans="3:9" x14ac:dyDescent="0.35">
      <c r="C77" s="56"/>
      <c r="D77" s="56"/>
      <c r="E77" s="56"/>
      <c r="F77" s="116"/>
      <c r="G77" s="116"/>
      <c r="H77" s="117"/>
      <c r="I77" s="116"/>
    </row>
    <row r="78" spans="3:9" x14ac:dyDescent="0.35">
      <c r="C78" s="134" t="s">
        <v>158</v>
      </c>
      <c r="D78" s="135"/>
      <c r="E78" s="135"/>
      <c r="F78" s="135"/>
      <c r="G78" s="135"/>
      <c r="H78" s="135"/>
      <c r="I78" s="136"/>
    </row>
    <row r="79" spans="3:9" x14ac:dyDescent="0.35">
      <c r="C79" s="113" t="s">
        <v>159</v>
      </c>
      <c r="D79" s="114" t="s">
        <v>160</v>
      </c>
      <c r="E79" s="114" t="s">
        <v>161</v>
      </c>
      <c r="F79" s="114" t="s">
        <v>107</v>
      </c>
      <c r="G79" s="114" t="s">
        <v>162</v>
      </c>
      <c r="H79" s="114" t="s">
        <v>143</v>
      </c>
      <c r="I79" s="115" t="s">
        <v>4</v>
      </c>
    </row>
    <row r="80" spans="3:9" x14ac:dyDescent="0.35">
      <c r="C80" s="70" t="s">
        <v>163</v>
      </c>
      <c r="D80" s="71" t="s">
        <v>170</v>
      </c>
      <c r="E80" s="72">
        <v>46142</v>
      </c>
      <c r="F80" s="73">
        <v>1</v>
      </c>
      <c r="G80" s="95">
        <v>243971</v>
      </c>
      <c r="H80" s="49">
        <f>G80*F80</f>
        <v>243971</v>
      </c>
      <c r="I80" s="50" t="s">
        <v>165</v>
      </c>
    </row>
    <row r="81" spans="3:9" x14ac:dyDescent="0.35">
      <c r="C81" s="75" t="s">
        <v>166</v>
      </c>
      <c r="D81" s="71" t="s">
        <v>170</v>
      </c>
      <c r="E81" s="72">
        <v>46142</v>
      </c>
      <c r="F81" s="64">
        <v>320</v>
      </c>
      <c r="G81" s="96">
        <v>5522</v>
      </c>
      <c r="H81" s="2">
        <f>G81*F81</f>
        <v>1767040</v>
      </c>
      <c r="I81" s="50" t="s">
        <v>165</v>
      </c>
    </row>
    <row r="82" spans="3:9" x14ac:dyDescent="0.35">
      <c r="C82" s="76" t="s">
        <v>171</v>
      </c>
      <c r="D82" s="71" t="s">
        <v>170</v>
      </c>
      <c r="E82" s="72">
        <v>46142</v>
      </c>
      <c r="F82" s="77"/>
      <c r="G82" s="118">
        <v>545111</v>
      </c>
      <c r="H82" s="2">
        <f>G82*F82</f>
        <v>0</v>
      </c>
      <c r="I82" s="51" t="s">
        <v>168</v>
      </c>
    </row>
    <row r="83" spans="3:9" x14ac:dyDescent="0.35">
      <c r="C83" s="79" t="s">
        <v>169</v>
      </c>
      <c r="D83" s="71" t="s">
        <v>170</v>
      </c>
      <c r="E83" s="72">
        <v>46142</v>
      </c>
      <c r="F83" s="81">
        <v>2</v>
      </c>
      <c r="G83" s="82">
        <v>51200</v>
      </c>
      <c r="H83" s="2">
        <f>G83*F83</f>
        <v>102400</v>
      </c>
      <c r="I83" s="53" t="s">
        <v>165</v>
      </c>
    </row>
    <row r="84" spans="3:9" x14ac:dyDescent="0.35">
      <c r="E84" s="54"/>
      <c r="H84" s="55">
        <f>SUM(H80:H83)</f>
        <v>2113411</v>
      </c>
    </row>
    <row r="87" spans="3:9" x14ac:dyDescent="0.35">
      <c r="C87" t="s">
        <v>182</v>
      </c>
    </row>
    <row r="88" spans="3:9" x14ac:dyDescent="0.35">
      <c r="C88" t="s">
        <v>183</v>
      </c>
    </row>
    <row r="89" spans="3:9" x14ac:dyDescent="0.35">
      <c r="C89" t="s">
        <v>184</v>
      </c>
    </row>
    <row r="90" spans="3:9" x14ac:dyDescent="0.35">
      <c r="C90" t="s">
        <v>185</v>
      </c>
    </row>
    <row r="91" spans="3:9" x14ac:dyDescent="0.35">
      <c r="C91" t="s">
        <v>186</v>
      </c>
    </row>
    <row r="92" spans="3:9" x14ac:dyDescent="0.35">
      <c r="C92" t="s">
        <v>187</v>
      </c>
    </row>
    <row r="93" spans="3:9" x14ac:dyDescent="0.35">
      <c r="C93" t="s">
        <v>188</v>
      </c>
    </row>
    <row r="94" spans="3:9" x14ac:dyDescent="0.35">
      <c r="C94" t="s">
        <v>189</v>
      </c>
    </row>
    <row r="95" spans="3:9" x14ac:dyDescent="0.35">
      <c r="C95" t="s">
        <v>190</v>
      </c>
    </row>
    <row r="96" spans="3:9" x14ac:dyDescent="0.35">
      <c r="C96" t="s">
        <v>191</v>
      </c>
    </row>
    <row r="99" spans="3:4" x14ac:dyDescent="0.35">
      <c r="C99" t="s">
        <v>192</v>
      </c>
    </row>
    <row r="100" spans="3:4" x14ac:dyDescent="0.35">
      <c r="C100" t="s">
        <v>193</v>
      </c>
    </row>
    <row r="101" spans="3:4" x14ac:dyDescent="0.35">
      <c r="C101" t="s">
        <v>194</v>
      </c>
    </row>
    <row r="102" spans="3:4" x14ac:dyDescent="0.35">
      <c r="C102" t="s">
        <v>195</v>
      </c>
    </row>
    <row r="103" spans="3:4" x14ac:dyDescent="0.35">
      <c r="C103" t="s">
        <v>196</v>
      </c>
      <c r="D103" t="s">
        <v>197</v>
      </c>
    </row>
    <row r="104" spans="3:4" x14ac:dyDescent="0.35">
      <c r="C104" t="s">
        <v>198</v>
      </c>
      <c r="D104" t="s">
        <v>197</v>
      </c>
    </row>
    <row r="105" spans="3:4" x14ac:dyDescent="0.35">
      <c r="C105" t="s">
        <v>199</v>
      </c>
    </row>
  </sheetData>
  <mergeCells count="5">
    <mergeCell ref="C2:H2"/>
    <mergeCell ref="C23:G23"/>
    <mergeCell ref="C56:E56"/>
    <mergeCell ref="C70:I70"/>
    <mergeCell ref="C78:I78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7985-FE90-422F-96D6-2B4D100D8510}">
  <dimension ref="A1:I43"/>
  <sheetViews>
    <sheetView topLeftCell="C1" workbookViewId="0">
      <selection activeCell="F34" sqref="F34"/>
    </sheetView>
  </sheetViews>
  <sheetFormatPr baseColWidth="10" defaultColWidth="8.7265625" defaultRowHeight="14.5" outlineLevelRow="1" x14ac:dyDescent="0.35"/>
  <cols>
    <col min="2" max="2" width="16.1796875" customWidth="1"/>
    <col min="3" max="3" width="50.1796875" customWidth="1"/>
    <col min="4" max="4" width="22.26953125" bestFit="1" customWidth="1"/>
    <col min="5" max="5" width="33.54296875" customWidth="1"/>
    <col min="6" max="6" width="17.81640625" bestFit="1" customWidth="1"/>
    <col min="7" max="7" width="19.54296875" customWidth="1"/>
    <col min="8" max="8" width="35.81640625" customWidth="1"/>
    <col min="9" max="10" width="25.81640625" bestFit="1" customWidth="1"/>
    <col min="11" max="11" width="13.453125" customWidth="1"/>
    <col min="12" max="12" width="2.1796875" customWidth="1"/>
    <col min="13" max="13" width="9.54296875" customWidth="1"/>
  </cols>
  <sheetData>
    <row r="1" spans="1:9" x14ac:dyDescent="0.35">
      <c r="D1" s="100"/>
      <c r="E1" s="18"/>
      <c r="F1" s="99"/>
    </row>
    <row r="2" spans="1:9" x14ac:dyDescent="0.35">
      <c r="C2" s="146" t="s">
        <v>42</v>
      </c>
      <c r="D2" s="146"/>
      <c r="E2" s="146"/>
      <c r="F2" s="146"/>
      <c r="G2" s="146"/>
      <c r="H2" s="146"/>
    </row>
    <row r="3" spans="1:9" x14ac:dyDescent="0.35">
      <c r="C3" s="21"/>
      <c r="D3" s="101" t="s">
        <v>0</v>
      </c>
      <c r="E3" s="101" t="s">
        <v>1</v>
      </c>
      <c r="F3" s="101" t="s">
        <v>2</v>
      </c>
      <c r="G3" s="101" t="s">
        <v>3</v>
      </c>
      <c r="H3" s="101" t="s">
        <v>4</v>
      </c>
      <c r="I3" s="99"/>
    </row>
    <row r="4" spans="1:9" outlineLevel="1" x14ac:dyDescent="0.35">
      <c r="A4" t="s">
        <v>200</v>
      </c>
      <c r="B4" t="s">
        <v>201</v>
      </c>
      <c r="C4" s="122" t="s">
        <v>43</v>
      </c>
      <c r="D4" s="123">
        <v>49500000</v>
      </c>
      <c r="E4" s="124">
        <f>D4</f>
        <v>49500000</v>
      </c>
      <c r="F4" s="125">
        <v>60</v>
      </c>
      <c r="G4" s="123">
        <f>D4/F4</f>
        <v>825000</v>
      </c>
      <c r="H4" s="24" t="s">
        <v>44</v>
      </c>
      <c r="I4" s="20" t="s">
        <v>45</v>
      </c>
    </row>
    <row r="5" spans="1:9" outlineLevel="1" x14ac:dyDescent="0.35">
      <c r="A5" t="s">
        <v>200</v>
      </c>
      <c r="B5" t="s">
        <v>201</v>
      </c>
      <c r="C5" s="65" t="s">
        <v>9</v>
      </c>
      <c r="D5" s="66">
        <v>21600</v>
      </c>
      <c r="E5" s="68"/>
      <c r="F5" s="67">
        <v>12</v>
      </c>
      <c r="G5" s="15">
        <f>D5/F5</f>
        <v>1800</v>
      </c>
      <c r="H5" s="24" t="s">
        <v>46</v>
      </c>
      <c r="I5" s="99"/>
    </row>
    <row r="6" spans="1:9" outlineLevel="1" x14ac:dyDescent="0.35">
      <c r="A6" t="s">
        <v>200</v>
      </c>
      <c r="B6" t="s">
        <v>201</v>
      </c>
      <c r="C6" s="122" t="s">
        <v>47</v>
      </c>
      <c r="D6" s="123">
        <v>154000</v>
      </c>
      <c r="E6" s="124"/>
      <c r="F6" s="125">
        <v>36</v>
      </c>
      <c r="G6" s="123">
        <f>(D6/F6)</f>
        <v>4277.7777777777774</v>
      </c>
      <c r="H6" s="24" t="s">
        <v>48</v>
      </c>
      <c r="I6" s="99"/>
    </row>
    <row r="7" spans="1:9" outlineLevel="1" x14ac:dyDescent="0.35">
      <c r="A7" t="s">
        <v>200</v>
      </c>
      <c r="B7" t="s">
        <v>201</v>
      </c>
      <c r="C7" s="65" t="s">
        <v>10</v>
      </c>
      <c r="D7" s="66">
        <v>73000</v>
      </c>
      <c r="E7" s="68"/>
      <c r="F7" s="67">
        <v>12</v>
      </c>
      <c r="G7" s="23">
        <f t="shared" ref="G7:G24" si="0">D7/F7</f>
        <v>6083.333333333333</v>
      </c>
      <c r="H7" s="24" t="s">
        <v>49</v>
      </c>
      <c r="I7" s="99" t="s">
        <v>50</v>
      </c>
    </row>
    <row r="8" spans="1:9" outlineLevel="1" x14ac:dyDescent="0.35">
      <c r="A8" t="s">
        <v>200</v>
      </c>
      <c r="B8" t="s">
        <v>201</v>
      </c>
      <c r="C8" s="65" t="s">
        <v>51</v>
      </c>
      <c r="D8" s="66">
        <v>373000</v>
      </c>
      <c r="E8" s="68"/>
      <c r="F8" s="67">
        <v>24</v>
      </c>
      <c r="G8" s="15">
        <f t="shared" si="0"/>
        <v>15541.666666666666</v>
      </c>
      <c r="H8" s="24" t="s">
        <v>52</v>
      </c>
      <c r="I8" s="99"/>
    </row>
    <row r="9" spans="1:9" outlineLevel="1" x14ac:dyDescent="0.35">
      <c r="A9" t="s">
        <v>200</v>
      </c>
      <c r="B9" t="s">
        <v>201</v>
      </c>
      <c r="C9" s="65" t="s">
        <v>15</v>
      </c>
      <c r="D9" s="66">
        <v>52893</v>
      </c>
      <c r="E9" s="68"/>
      <c r="F9" s="67">
        <v>12</v>
      </c>
      <c r="G9" s="15">
        <f t="shared" si="0"/>
        <v>4407.75</v>
      </c>
      <c r="H9" s="24" t="s">
        <v>53</v>
      </c>
      <c r="I9" s="99"/>
    </row>
    <row r="10" spans="1:9" outlineLevel="1" x14ac:dyDescent="0.35">
      <c r="A10" t="s">
        <v>200</v>
      </c>
      <c r="B10" t="s">
        <v>201</v>
      </c>
      <c r="C10" s="65" t="s">
        <v>54</v>
      </c>
      <c r="D10" s="66">
        <v>280000</v>
      </c>
      <c r="E10" s="68"/>
      <c r="F10" s="67">
        <v>12</v>
      </c>
      <c r="G10" s="15">
        <f t="shared" si="0"/>
        <v>23333.333333333332</v>
      </c>
      <c r="H10" s="24" t="s">
        <v>55</v>
      </c>
      <c r="I10" s="99"/>
    </row>
    <row r="11" spans="1:9" outlineLevel="1" x14ac:dyDescent="0.35">
      <c r="A11" t="s">
        <v>200</v>
      </c>
      <c r="B11" t="s">
        <v>201</v>
      </c>
      <c r="C11" s="65" t="s">
        <v>17</v>
      </c>
      <c r="D11" s="66">
        <v>236000</v>
      </c>
      <c r="E11" s="68"/>
      <c r="F11" s="67">
        <v>24</v>
      </c>
      <c r="G11" s="15">
        <f t="shared" si="0"/>
        <v>9833.3333333333339</v>
      </c>
      <c r="H11" s="24" t="s">
        <v>52</v>
      </c>
      <c r="I11" s="99"/>
    </row>
    <row r="12" spans="1:9" outlineLevel="1" x14ac:dyDescent="0.35">
      <c r="A12" t="s">
        <v>200</v>
      </c>
      <c r="B12" t="s">
        <v>201</v>
      </c>
      <c r="C12" s="65" t="s">
        <v>56</v>
      </c>
      <c r="D12" s="66">
        <v>180000</v>
      </c>
      <c r="E12" s="68"/>
      <c r="F12" s="67">
        <v>12</v>
      </c>
      <c r="G12" s="15">
        <f t="shared" si="0"/>
        <v>15000</v>
      </c>
      <c r="H12" s="24" t="s">
        <v>57</v>
      </c>
      <c r="I12" s="99" t="s">
        <v>58</v>
      </c>
    </row>
    <row r="13" spans="1:9" outlineLevel="1" x14ac:dyDescent="0.35">
      <c r="A13" t="s">
        <v>200</v>
      </c>
      <c r="B13" t="s">
        <v>201</v>
      </c>
      <c r="C13" s="65" t="s">
        <v>19</v>
      </c>
      <c r="D13" s="66">
        <v>19500</v>
      </c>
      <c r="E13" s="68"/>
      <c r="F13" s="67">
        <v>12</v>
      </c>
      <c r="G13" s="15">
        <f t="shared" si="0"/>
        <v>1625</v>
      </c>
      <c r="H13" s="24" t="s">
        <v>53</v>
      </c>
      <c r="I13" s="99"/>
    </row>
    <row r="14" spans="1:9" outlineLevel="1" x14ac:dyDescent="0.35">
      <c r="A14" t="s">
        <v>200</v>
      </c>
      <c r="B14" t="s">
        <v>201</v>
      </c>
      <c r="C14" s="65" t="s">
        <v>59</v>
      </c>
      <c r="D14" s="66">
        <v>22500</v>
      </c>
      <c r="E14" s="68"/>
      <c r="F14" s="67">
        <v>12</v>
      </c>
      <c r="G14" s="15">
        <f t="shared" si="0"/>
        <v>1875</v>
      </c>
      <c r="H14" s="24" t="s">
        <v>53</v>
      </c>
      <c r="I14" s="99"/>
    </row>
    <row r="15" spans="1:9" outlineLevel="1" x14ac:dyDescent="0.35">
      <c r="A15" t="s">
        <v>200</v>
      </c>
      <c r="B15" t="s">
        <v>201</v>
      </c>
      <c r="C15" s="65" t="s">
        <v>60</v>
      </c>
      <c r="D15" s="66">
        <v>2757200</v>
      </c>
      <c r="E15" s="66"/>
      <c r="F15" s="67">
        <v>12</v>
      </c>
      <c r="G15" s="23">
        <f t="shared" si="0"/>
        <v>229766.66666666666</v>
      </c>
      <c r="H15" s="24" t="s">
        <v>61</v>
      </c>
      <c r="I15" s="99"/>
    </row>
    <row r="16" spans="1:9" outlineLevel="1" x14ac:dyDescent="0.35">
      <c r="A16" t="s">
        <v>200</v>
      </c>
      <c r="B16" t="s">
        <v>201</v>
      </c>
      <c r="C16" s="65" t="s">
        <v>62</v>
      </c>
      <c r="D16" s="66">
        <v>166239</v>
      </c>
      <c r="E16" s="66"/>
      <c r="F16" s="67">
        <v>6</v>
      </c>
      <c r="G16" s="23">
        <f t="shared" si="0"/>
        <v>27706.5</v>
      </c>
      <c r="H16" s="24" t="s">
        <v>61</v>
      </c>
      <c r="I16" s="99"/>
    </row>
    <row r="17" spans="1:9" outlineLevel="1" x14ac:dyDescent="0.35">
      <c r="A17" t="s">
        <v>200</v>
      </c>
      <c r="B17" t="s">
        <v>201</v>
      </c>
      <c r="C17" s="65" t="s">
        <v>25</v>
      </c>
      <c r="D17" s="66">
        <v>208500</v>
      </c>
      <c r="E17" s="66">
        <f>D17</f>
        <v>208500</v>
      </c>
      <c r="F17" s="67">
        <v>12</v>
      </c>
      <c r="G17" s="23">
        <f t="shared" si="0"/>
        <v>17375</v>
      </c>
      <c r="H17" s="24" t="s">
        <v>53</v>
      </c>
      <c r="I17" s="99"/>
    </row>
    <row r="18" spans="1:9" outlineLevel="1" x14ac:dyDescent="0.35">
      <c r="A18" t="s">
        <v>200</v>
      </c>
      <c r="B18" t="s">
        <v>201</v>
      </c>
      <c r="C18" s="65" t="s">
        <v>63</v>
      </c>
      <c r="D18" s="66">
        <v>338500</v>
      </c>
      <c r="E18" s="66"/>
      <c r="F18" s="67">
        <v>2</v>
      </c>
      <c r="G18" s="23">
        <f t="shared" si="0"/>
        <v>169250</v>
      </c>
      <c r="H18" s="24" t="s">
        <v>64</v>
      </c>
      <c r="I18" s="99" t="s">
        <v>65</v>
      </c>
    </row>
    <row r="19" spans="1:9" outlineLevel="1" x14ac:dyDescent="0.35">
      <c r="A19" t="s">
        <v>200</v>
      </c>
      <c r="B19" t="s">
        <v>201</v>
      </c>
      <c r="C19" s="65" t="s">
        <v>27</v>
      </c>
      <c r="D19" s="66">
        <v>140000</v>
      </c>
      <c r="E19" s="66"/>
      <c r="F19" s="67">
        <v>24</v>
      </c>
      <c r="G19" s="23">
        <f t="shared" si="0"/>
        <v>5833.333333333333</v>
      </c>
      <c r="H19" s="24" t="s">
        <v>52</v>
      </c>
      <c r="I19" s="99"/>
    </row>
    <row r="20" spans="1:9" outlineLevel="1" x14ac:dyDescent="0.35">
      <c r="A20" t="s">
        <v>200</v>
      </c>
      <c r="B20" t="s">
        <v>201</v>
      </c>
      <c r="C20" s="65" t="s">
        <v>66</v>
      </c>
      <c r="D20" s="66">
        <v>354000</v>
      </c>
      <c r="E20" s="66"/>
      <c r="F20" s="67">
        <v>12</v>
      </c>
      <c r="G20" s="23">
        <f t="shared" si="0"/>
        <v>29500</v>
      </c>
      <c r="H20" s="24" t="s">
        <v>61</v>
      </c>
      <c r="I20" s="99"/>
    </row>
    <row r="21" spans="1:9" outlineLevel="1" x14ac:dyDescent="0.35">
      <c r="A21" t="s">
        <v>200</v>
      </c>
      <c r="B21" t="s">
        <v>201</v>
      </c>
      <c r="C21" s="122" t="s">
        <v>30</v>
      </c>
      <c r="D21" s="123">
        <v>174</v>
      </c>
      <c r="E21" s="123">
        <f>D21</f>
        <v>174</v>
      </c>
      <c r="F21" s="125">
        <v>12</v>
      </c>
      <c r="G21" s="23">
        <f t="shared" si="0"/>
        <v>14.5</v>
      </c>
      <c r="H21" s="24"/>
      <c r="I21" s="99"/>
    </row>
    <row r="22" spans="1:9" outlineLevel="1" x14ac:dyDescent="0.35">
      <c r="A22" t="s">
        <v>200</v>
      </c>
      <c r="B22" t="s">
        <v>201</v>
      </c>
      <c r="C22" s="65" t="s">
        <v>31</v>
      </c>
      <c r="D22" s="66">
        <v>29025</v>
      </c>
      <c r="E22" s="66">
        <f>D22</f>
        <v>29025</v>
      </c>
      <c r="F22" s="67">
        <v>1</v>
      </c>
      <c r="G22" s="23">
        <f t="shared" si="0"/>
        <v>29025</v>
      </c>
      <c r="H22" s="24" t="s">
        <v>67</v>
      </c>
      <c r="I22" s="99"/>
    </row>
    <row r="23" spans="1:9" outlineLevel="1" x14ac:dyDescent="0.35">
      <c r="A23" t="s">
        <v>200</v>
      </c>
      <c r="B23" t="s">
        <v>201</v>
      </c>
      <c r="C23" s="65" t="s">
        <v>202</v>
      </c>
      <c r="D23" s="66">
        <v>338000</v>
      </c>
      <c r="E23" s="68"/>
      <c r="F23" s="67">
        <v>24</v>
      </c>
      <c r="G23" s="23">
        <f t="shared" si="0"/>
        <v>14083.333333333334</v>
      </c>
      <c r="H23" s="24" t="s">
        <v>52</v>
      </c>
      <c r="I23" s="99"/>
    </row>
    <row r="24" spans="1:9" outlineLevel="1" x14ac:dyDescent="0.35">
      <c r="A24" t="s">
        <v>200</v>
      </c>
      <c r="B24" t="s">
        <v>201</v>
      </c>
      <c r="C24" s="65" t="s">
        <v>203</v>
      </c>
      <c r="D24" s="66">
        <v>330000</v>
      </c>
      <c r="E24" s="68"/>
      <c r="F24" s="67">
        <v>24</v>
      </c>
      <c r="G24" s="23">
        <f t="shared" si="0"/>
        <v>13750</v>
      </c>
      <c r="H24" s="24" t="s">
        <v>52</v>
      </c>
      <c r="I24" s="99"/>
    </row>
    <row r="25" spans="1:9" outlineLevel="1" x14ac:dyDescent="0.35">
      <c r="A25" t="s">
        <v>200</v>
      </c>
      <c r="B25" t="s">
        <v>201</v>
      </c>
      <c r="C25" s="62" t="s">
        <v>204</v>
      </c>
      <c r="D25" s="63">
        <v>430000</v>
      </c>
      <c r="E25" s="63"/>
      <c r="F25" s="64">
        <v>24</v>
      </c>
      <c r="G25" s="9">
        <f>(D25/F25)</f>
        <v>17916.666666666668</v>
      </c>
      <c r="H25" s="10"/>
      <c r="I25" s="99"/>
    </row>
    <row r="26" spans="1:9" outlineLevel="1" x14ac:dyDescent="0.35">
      <c r="A26" t="s">
        <v>200</v>
      </c>
      <c r="B26" t="s">
        <v>201</v>
      </c>
      <c r="C26" s="62" t="s">
        <v>205</v>
      </c>
      <c r="D26" s="63">
        <v>66668</v>
      </c>
      <c r="E26" s="63"/>
      <c r="F26" s="64">
        <v>1</v>
      </c>
      <c r="G26" s="9">
        <f>(D26/F26)</f>
        <v>66668</v>
      </c>
      <c r="H26" s="10"/>
      <c r="I26" s="99"/>
    </row>
    <row r="27" spans="1:9" outlineLevel="1" x14ac:dyDescent="0.35">
      <c r="A27" t="s">
        <v>200</v>
      </c>
      <c r="B27" t="s">
        <v>201</v>
      </c>
      <c r="C27" s="65" t="s">
        <v>32</v>
      </c>
      <c r="D27" s="66">
        <v>110000</v>
      </c>
      <c r="E27" s="65"/>
      <c r="F27" s="67">
        <v>1</v>
      </c>
      <c r="G27" s="15">
        <f>D27/F27</f>
        <v>110000</v>
      </c>
      <c r="H27" s="16" t="s">
        <v>70</v>
      </c>
      <c r="I27" s="99"/>
    </row>
    <row r="28" spans="1:9" outlineLevel="1" x14ac:dyDescent="0.35">
      <c r="A28" t="s">
        <v>200</v>
      </c>
      <c r="B28" t="s">
        <v>201</v>
      </c>
      <c r="C28" s="11" t="s">
        <v>33</v>
      </c>
      <c r="D28" s="12"/>
      <c r="E28" s="13"/>
      <c r="F28" s="14">
        <v>1</v>
      </c>
      <c r="G28" s="15">
        <f>D28/F28</f>
        <v>0</v>
      </c>
      <c r="H28" s="16" t="s">
        <v>71</v>
      </c>
      <c r="I28" s="99" t="s">
        <v>35</v>
      </c>
    </row>
    <row r="29" spans="1:9" outlineLevel="1" x14ac:dyDescent="0.35">
      <c r="A29" t="s">
        <v>200</v>
      </c>
      <c r="B29" t="s">
        <v>201</v>
      </c>
      <c r="C29" s="65" t="s">
        <v>72</v>
      </c>
      <c r="D29" s="66">
        <v>60000</v>
      </c>
      <c r="E29" s="65"/>
      <c r="F29" s="67">
        <v>36</v>
      </c>
      <c r="G29" s="15">
        <f>D29/F29</f>
        <v>1666.6666666666667</v>
      </c>
      <c r="H29" s="16"/>
      <c r="I29" s="99"/>
    </row>
    <row r="30" spans="1:9" outlineLevel="1" x14ac:dyDescent="0.35">
      <c r="A30" t="s">
        <v>200</v>
      </c>
      <c r="B30" t="s">
        <v>201</v>
      </c>
      <c r="C30" s="11" t="s">
        <v>36</v>
      </c>
      <c r="D30" s="13"/>
      <c r="E30" s="13"/>
      <c r="F30" s="14">
        <v>12</v>
      </c>
      <c r="G30" s="15">
        <f>D30/F30</f>
        <v>0</v>
      </c>
      <c r="H30" s="16" t="s">
        <v>73</v>
      </c>
      <c r="I30" s="99"/>
    </row>
    <row r="31" spans="1:9" outlineLevel="1" x14ac:dyDescent="0.35">
      <c r="A31" t="s">
        <v>200</v>
      </c>
      <c r="B31" t="s">
        <v>201</v>
      </c>
      <c r="C31" s="93" t="s">
        <v>40</v>
      </c>
      <c r="D31" s="94"/>
      <c r="E31" s="90"/>
      <c r="F31" s="91"/>
      <c r="G31" s="92"/>
      <c r="H31" s="88" t="s">
        <v>41</v>
      </c>
      <c r="I31" s="99"/>
    </row>
    <row r="32" spans="1:9" outlineLevel="1" x14ac:dyDescent="0.35">
      <c r="A32" t="s">
        <v>200</v>
      </c>
      <c r="B32" t="s">
        <v>201</v>
      </c>
      <c r="C32" s="83" t="s">
        <v>38</v>
      </c>
      <c r="D32" s="12"/>
      <c r="E32" s="13"/>
      <c r="F32" s="14"/>
      <c r="G32" s="15"/>
      <c r="H32" s="16" t="s">
        <v>39</v>
      </c>
      <c r="I32" s="99"/>
    </row>
    <row r="33" spans="3:9" x14ac:dyDescent="0.35">
      <c r="E33" s="102">
        <f>SUM(E4:E30)</f>
        <v>49737699</v>
      </c>
      <c r="F33" s="103" t="s">
        <v>74</v>
      </c>
      <c r="G33" s="102">
        <f>SUM(G4:G30)</f>
        <v>1641332.8611111112</v>
      </c>
      <c r="I33" s="99"/>
    </row>
    <row r="34" spans="3:9" x14ac:dyDescent="0.35">
      <c r="E34" s="104" t="s">
        <v>75</v>
      </c>
      <c r="F34" s="105">
        <v>0.05</v>
      </c>
      <c r="G34" s="106">
        <f>G33*F34</f>
        <v>82066.643055555571</v>
      </c>
      <c r="I34" s="99"/>
    </row>
    <row r="35" spans="3:9" x14ac:dyDescent="0.35">
      <c r="E35" s="107"/>
      <c r="F35" s="108"/>
      <c r="I35" s="99"/>
    </row>
    <row r="39" spans="3:9" x14ac:dyDescent="0.35">
      <c r="C39" t="s">
        <v>182</v>
      </c>
    </row>
    <row r="40" spans="3:9" x14ac:dyDescent="0.35">
      <c r="C40" t="s">
        <v>206</v>
      </c>
    </row>
    <row r="41" spans="3:9" x14ac:dyDescent="0.35">
      <c r="C41" t="s">
        <v>207</v>
      </c>
    </row>
    <row r="42" spans="3:9" x14ac:dyDescent="0.35">
      <c r="C42" t="s">
        <v>208</v>
      </c>
    </row>
    <row r="43" spans="3:9" x14ac:dyDescent="0.35">
      <c r="C43" t="s">
        <v>209</v>
      </c>
    </row>
  </sheetData>
  <mergeCells count="1">
    <mergeCell ref="C2:H2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D00A-1698-4B9C-A1F9-E31E46D773E7}">
  <dimension ref="A1:I45"/>
  <sheetViews>
    <sheetView workbookViewId="0"/>
  </sheetViews>
  <sheetFormatPr baseColWidth="10" defaultColWidth="8.7265625" defaultRowHeight="14.5" outlineLevelRow="1" x14ac:dyDescent="0.35"/>
  <cols>
    <col min="1" max="1" width="15.7265625" customWidth="1"/>
    <col min="2" max="2" width="16.81640625" customWidth="1"/>
    <col min="3" max="3" width="50.1796875" customWidth="1"/>
    <col min="4" max="4" width="22.26953125" bestFit="1" customWidth="1"/>
    <col min="5" max="5" width="33.54296875" customWidth="1"/>
    <col min="6" max="6" width="17.81640625" bestFit="1" customWidth="1"/>
    <col min="7" max="7" width="19.54296875" customWidth="1"/>
    <col min="8" max="8" width="35.81640625" customWidth="1"/>
    <col min="9" max="10" width="25.81640625" bestFit="1" customWidth="1"/>
    <col min="11" max="11" width="13.453125" customWidth="1"/>
    <col min="12" max="12" width="2.1796875" customWidth="1"/>
    <col min="13" max="13" width="9.54296875" customWidth="1"/>
  </cols>
  <sheetData>
    <row r="1" spans="1:9" x14ac:dyDescent="0.35">
      <c r="C1" s="7"/>
      <c r="D1" s="98" t="s">
        <v>0</v>
      </c>
      <c r="E1" s="98" t="s">
        <v>1</v>
      </c>
      <c r="F1" s="98" t="s">
        <v>2</v>
      </c>
      <c r="G1" s="98" t="s">
        <v>3</v>
      </c>
      <c r="H1" s="98" t="s">
        <v>4</v>
      </c>
    </row>
    <row r="2" spans="1:9" outlineLevel="1" x14ac:dyDescent="0.35">
      <c r="A2" s="3" t="s">
        <v>5</v>
      </c>
      <c r="B2" s="3" t="s">
        <v>6</v>
      </c>
      <c r="C2" s="119" t="s">
        <v>7</v>
      </c>
      <c r="D2" s="120">
        <f>39349166+43231000+1672716.49</f>
        <v>84252882.489999995</v>
      </c>
      <c r="E2" s="120">
        <f>D2</f>
        <v>84252882.489999995</v>
      </c>
      <c r="F2" s="121">
        <v>60</v>
      </c>
      <c r="G2" s="9">
        <f>D2/F2</f>
        <v>1404214.7081666666</v>
      </c>
      <c r="H2" s="10" t="s">
        <v>8</v>
      </c>
    </row>
    <row r="3" spans="1:9" outlineLevel="1" x14ac:dyDescent="0.35">
      <c r="A3" s="3" t="s">
        <v>5</v>
      </c>
      <c r="B3" s="3" t="s">
        <v>6</v>
      </c>
      <c r="C3" s="62" t="s">
        <v>9</v>
      </c>
      <c r="D3" s="63">
        <v>10800</v>
      </c>
      <c r="E3" s="63"/>
      <c r="F3" s="64">
        <v>12</v>
      </c>
      <c r="G3" s="9">
        <f>D3/F3</f>
        <v>900</v>
      </c>
      <c r="H3" s="10"/>
    </row>
    <row r="4" spans="1:9" outlineLevel="1" x14ac:dyDescent="0.35">
      <c r="A4" s="3" t="s">
        <v>5</v>
      </c>
      <c r="B4" s="3" t="s">
        <v>6</v>
      </c>
      <c r="C4" s="62" t="s">
        <v>10</v>
      </c>
      <c r="D4" s="63">
        <v>73000</v>
      </c>
      <c r="E4" s="63"/>
      <c r="F4" s="64">
        <v>12</v>
      </c>
      <c r="G4" s="9">
        <f>D4/F4</f>
        <v>6083.333333333333</v>
      </c>
      <c r="H4" s="10"/>
    </row>
    <row r="5" spans="1:9" outlineLevel="1" x14ac:dyDescent="0.35">
      <c r="A5" s="3" t="s">
        <v>11</v>
      </c>
      <c r="B5" s="3" t="s">
        <v>6</v>
      </c>
      <c r="C5" s="119" t="s">
        <v>12</v>
      </c>
      <c r="D5" s="120">
        <v>154000</v>
      </c>
      <c r="E5" s="120"/>
      <c r="F5" s="121">
        <v>36</v>
      </c>
      <c r="G5" s="9">
        <f>(D5/F5)</f>
        <v>4277.7777777777774</v>
      </c>
      <c r="H5" s="10"/>
    </row>
    <row r="6" spans="1:9" outlineLevel="1" x14ac:dyDescent="0.35">
      <c r="A6" s="3" t="s">
        <v>5</v>
      </c>
      <c r="B6" s="3" t="s">
        <v>6</v>
      </c>
      <c r="C6" s="62" t="s">
        <v>13</v>
      </c>
      <c r="D6" s="63">
        <v>390000</v>
      </c>
      <c r="E6" s="63"/>
      <c r="F6" s="64">
        <v>24</v>
      </c>
      <c r="G6" s="9">
        <f t="shared" ref="G6:G22" si="0">D6/F6</f>
        <v>16250</v>
      </c>
      <c r="H6" s="10"/>
    </row>
    <row r="7" spans="1:9" outlineLevel="1" x14ac:dyDescent="0.35">
      <c r="A7" s="3" t="s">
        <v>5</v>
      </c>
      <c r="B7" s="3" t="s">
        <v>6</v>
      </c>
      <c r="C7" s="62" t="s">
        <v>14</v>
      </c>
      <c r="D7" s="63">
        <v>320000</v>
      </c>
      <c r="E7" s="63"/>
      <c r="F7" s="64">
        <v>12</v>
      </c>
      <c r="G7" s="9">
        <f t="shared" si="0"/>
        <v>26666.666666666668</v>
      </c>
      <c r="H7" s="10"/>
    </row>
    <row r="8" spans="1:9" outlineLevel="1" x14ac:dyDescent="0.35">
      <c r="A8" s="3" t="s">
        <v>5</v>
      </c>
      <c r="B8" s="3" t="s">
        <v>6</v>
      </c>
      <c r="C8" s="62" t="s">
        <v>15</v>
      </c>
      <c r="D8" s="63">
        <v>52893</v>
      </c>
      <c r="E8" s="63"/>
      <c r="F8" s="64">
        <v>12</v>
      </c>
      <c r="G8" s="9">
        <f t="shared" si="0"/>
        <v>4407.75</v>
      </c>
      <c r="H8" s="10"/>
    </row>
    <row r="9" spans="1:9" outlineLevel="1" x14ac:dyDescent="0.35">
      <c r="A9" s="3" t="s">
        <v>5</v>
      </c>
      <c r="B9" s="3" t="s">
        <v>6</v>
      </c>
      <c r="C9" s="62" t="s">
        <v>16</v>
      </c>
      <c r="D9" s="63">
        <v>71000</v>
      </c>
      <c r="E9" s="63"/>
      <c r="F9" s="64">
        <v>12</v>
      </c>
      <c r="G9" s="9">
        <f t="shared" si="0"/>
        <v>5916.666666666667</v>
      </c>
      <c r="H9" s="10"/>
    </row>
    <row r="10" spans="1:9" outlineLevel="1" x14ac:dyDescent="0.35">
      <c r="A10" s="3" t="s">
        <v>5</v>
      </c>
      <c r="B10" s="3" t="s">
        <v>6</v>
      </c>
      <c r="C10" s="62" t="s">
        <v>17</v>
      </c>
      <c r="D10" s="63">
        <v>236000</v>
      </c>
      <c r="E10" s="63"/>
      <c r="F10" s="64">
        <v>12</v>
      </c>
      <c r="G10" s="9">
        <f t="shared" si="0"/>
        <v>19666.666666666668</v>
      </c>
      <c r="H10" s="10"/>
    </row>
    <row r="11" spans="1:9" outlineLevel="1" x14ac:dyDescent="0.35">
      <c r="A11" s="3" t="s">
        <v>5</v>
      </c>
      <c r="B11" s="3" t="s">
        <v>6</v>
      </c>
      <c r="C11" s="62" t="s">
        <v>18</v>
      </c>
      <c r="D11" s="63">
        <v>180000</v>
      </c>
      <c r="E11" s="63"/>
      <c r="F11" s="64">
        <v>24</v>
      </c>
      <c r="G11" s="9">
        <f t="shared" si="0"/>
        <v>7500</v>
      </c>
      <c r="H11" s="10"/>
    </row>
    <row r="12" spans="1:9" outlineLevel="1" x14ac:dyDescent="0.35">
      <c r="A12" s="3" t="s">
        <v>5</v>
      </c>
      <c r="B12" s="3" t="s">
        <v>6</v>
      </c>
      <c r="C12" s="62" t="s">
        <v>19</v>
      </c>
      <c r="D12" s="63">
        <v>19500</v>
      </c>
      <c r="E12" s="63"/>
      <c r="F12" s="64">
        <v>12</v>
      </c>
      <c r="G12" s="9">
        <f t="shared" si="0"/>
        <v>1625</v>
      </c>
      <c r="H12" s="10"/>
    </row>
    <row r="13" spans="1:9" outlineLevel="1" x14ac:dyDescent="0.35">
      <c r="A13" s="3" t="s">
        <v>5</v>
      </c>
      <c r="B13" s="3" t="s">
        <v>6</v>
      </c>
      <c r="C13" s="62" t="s">
        <v>20</v>
      </c>
      <c r="D13" s="63">
        <v>22500</v>
      </c>
      <c r="E13" s="63"/>
      <c r="F13" s="64">
        <v>12</v>
      </c>
      <c r="G13" s="9">
        <f t="shared" si="0"/>
        <v>1875</v>
      </c>
      <c r="H13" s="10"/>
    </row>
    <row r="14" spans="1:9" outlineLevel="1" x14ac:dyDescent="0.35">
      <c r="A14" s="3" t="s">
        <v>5</v>
      </c>
      <c r="B14" s="3" t="s">
        <v>6</v>
      </c>
      <c r="C14" s="62" t="s">
        <v>21</v>
      </c>
      <c r="D14" s="63">
        <v>1500000</v>
      </c>
      <c r="E14" s="63"/>
      <c r="F14" s="64">
        <v>36</v>
      </c>
      <c r="G14" s="9">
        <f t="shared" si="0"/>
        <v>41666.666666666664</v>
      </c>
      <c r="H14" s="10" t="s">
        <v>22</v>
      </c>
      <c r="I14" t="s">
        <v>23</v>
      </c>
    </row>
    <row r="15" spans="1:9" outlineLevel="1" x14ac:dyDescent="0.35">
      <c r="A15" s="3" t="s">
        <v>5</v>
      </c>
      <c r="B15" s="3" t="s">
        <v>6</v>
      </c>
      <c r="C15" s="62" t="s">
        <v>24</v>
      </c>
      <c r="D15" s="63">
        <v>166239</v>
      </c>
      <c r="E15" s="63"/>
      <c r="F15" s="64">
        <v>12</v>
      </c>
      <c r="G15" s="9">
        <f t="shared" si="0"/>
        <v>13853.25</v>
      </c>
      <c r="H15" s="10"/>
    </row>
    <row r="16" spans="1:9" outlineLevel="1" x14ac:dyDescent="0.35">
      <c r="A16" s="3" t="s">
        <v>5</v>
      </c>
      <c r="B16" s="3" t="s">
        <v>6</v>
      </c>
      <c r="C16" s="62" t="s">
        <v>25</v>
      </c>
      <c r="D16" s="63">
        <v>208500</v>
      </c>
      <c r="E16" s="63">
        <f>D16</f>
        <v>208500</v>
      </c>
      <c r="F16" s="64">
        <v>12</v>
      </c>
      <c r="G16" s="9">
        <f t="shared" si="0"/>
        <v>17375</v>
      </c>
      <c r="H16" s="10"/>
    </row>
    <row r="17" spans="1:9" outlineLevel="1" x14ac:dyDescent="0.35">
      <c r="A17" s="3" t="s">
        <v>5</v>
      </c>
      <c r="B17" s="3" t="s">
        <v>6</v>
      </c>
      <c r="C17" s="62" t="s">
        <v>26</v>
      </c>
      <c r="D17" s="63">
        <v>391000</v>
      </c>
      <c r="E17" s="63"/>
      <c r="F17" s="64">
        <v>12</v>
      </c>
      <c r="G17" s="9">
        <f t="shared" si="0"/>
        <v>32583.333333333332</v>
      </c>
      <c r="H17" s="10"/>
    </row>
    <row r="18" spans="1:9" outlineLevel="1" x14ac:dyDescent="0.35">
      <c r="A18" s="3" t="s">
        <v>5</v>
      </c>
      <c r="B18" s="3" t="s">
        <v>6</v>
      </c>
      <c r="C18" s="62" t="s">
        <v>27</v>
      </c>
      <c r="D18" s="63">
        <v>140000</v>
      </c>
      <c r="E18" s="63"/>
      <c r="F18" s="64">
        <v>24</v>
      </c>
      <c r="G18" s="9">
        <f t="shared" si="0"/>
        <v>5833.333333333333</v>
      </c>
      <c r="H18" s="10"/>
    </row>
    <row r="19" spans="1:9" outlineLevel="1" x14ac:dyDescent="0.35">
      <c r="A19" s="3" t="s">
        <v>5</v>
      </c>
      <c r="B19" s="3" t="s">
        <v>6</v>
      </c>
      <c r="C19" s="62" t="s">
        <v>28</v>
      </c>
      <c r="D19" s="63">
        <v>233306</v>
      </c>
      <c r="E19" s="63"/>
      <c r="F19" s="64">
        <v>36</v>
      </c>
      <c r="G19" s="9">
        <f t="shared" si="0"/>
        <v>6480.7222222222226</v>
      </c>
      <c r="H19" s="10"/>
    </row>
    <row r="20" spans="1:9" outlineLevel="1" x14ac:dyDescent="0.35">
      <c r="A20" s="3" t="s">
        <v>5</v>
      </c>
      <c r="B20" s="3" t="s">
        <v>6</v>
      </c>
      <c r="C20" s="62" t="s">
        <v>29</v>
      </c>
      <c r="D20" s="63">
        <v>177000</v>
      </c>
      <c r="E20" s="63"/>
      <c r="F20" s="64">
        <v>12</v>
      </c>
      <c r="G20" s="9">
        <f t="shared" si="0"/>
        <v>14750</v>
      </c>
      <c r="H20" s="10"/>
    </row>
    <row r="21" spans="1:9" outlineLevel="1" x14ac:dyDescent="0.35">
      <c r="A21" s="3" t="s">
        <v>5</v>
      </c>
      <c r="B21" s="3" t="s">
        <v>6</v>
      </c>
      <c r="C21" s="119" t="s">
        <v>30</v>
      </c>
      <c r="D21" s="120">
        <v>174</v>
      </c>
      <c r="E21" s="120">
        <f>D21</f>
        <v>174</v>
      </c>
      <c r="F21" s="121">
        <v>24</v>
      </c>
      <c r="G21" s="9">
        <f t="shared" si="0"/>
        <v>7.25</v>
      </c>
      <c r="H21" s="10"/>
    </row>
    <row r="22" spans="1:9" outlineLevel="1" x14ac:dyDescent="0.35">
      <c r="A22" s="3" t="s">
        <v>5</v>
      </c>
      <c r="B22" s="3" t="s">
        <v>6</v>
      </c>
      <c r="C22" s="62" t="s">
        <v>31</v>
      </c>
      <c r="D22" s="63">
        <v>29025</v>
      </c>
      <c r="E22" s="63">
        <f>D22</f>
        <v>29025</v>
      </c>
      <c r="F22" s="64">
        <v>1</v>
      </c>
      <c r="G22" s="9">
        <f t="shared" si="0"/>
        <v>29025</v>
      </c>
      <c r="H22" s="10"/>
    </row>
    <row r="23" spans="1:9" outlineLevel="1" x14ac:dyDescent="0.35">
      <c r="A23" s="3" t="s">
        <v>11</v>
      </c>
      <c r="B23" s="3" t="s">
        <v>6</v>
      </c>
      <c r="C23" s="62" t="s">
        <v>210</v>
      </c>
      <c r="D23" s="63">
        <v>530000</v>
      </c>
      <c r="E23" s="63"/>
      <c r="F23" s="64">
        <v>24</v>
      </c>
      <c r="G23" s="9">
        <f>(D23/F23)</f>
        <v>22083.333333333332</v>
      </c>
      <c r="H23" s="10"/>
    </row>
    <row r="24" spans="1:9" outlineLevel="1" x14ac:dyDescent="0.35">
      <c r="A24" s="3" t="s">
        <v>11</v>
      </c>
      <c r="B24" s="3" t="s">
        <v>6</v>
      </c>
      <c r="C24" s="62" t="s">
        <v>205</v>
      </c>
      <c r="D24" s="63">
        <v>66668</v>
      </c>
      <c r="E24" s="63"/>
      <c r="F24" s="64">
        <v>1</v>
      </c>
      <c r="G24" s="9">
        <f>(D24/F24)</f>
        <v>66668</v>
      </c>
      <c r="H24" s="10"/>
    </row>
    <row r="25" spans="1:9" outlineLevel="1" x14ac:dyDescent="0.35">
      <c r="A25" s="3" t="s">
        <v>5</v>
      </c>
      <c r="B25" s="3" t="s">
        <v>6</v>
      </c>
      <c r="C25" s="62" t="s">
        <v>32</v>
      </c>
      <c r="D25" s="63">
        <v>55000</v>
      </c>
      <c r="E25" s="63"/>
      <c r="F25" s="64">
        <v>1</v>
      </c>
      <c r="G25" s="9">
        <f>D25/F25</f>
        <v>55000</v>
      </c>
      <c r="H25" s="10"/>
    </row>
    <row r="26" spans="1:9" outlineLevel="1" x14ac:dyDescent="0.35">
      <c r="A26" s="3" t="s">
        <v>5</v>
      </c>
      <c r="B26" s="3" t="s">
        <v>6</v>
      </c>
      <c r="C26" s="65" t="s">
        <v>33</v>
      </c>
      <c r="D26" s="66">
        <v>163800</v>
      </c>
      <c r="E26" s="65"/>
      <c r="F26" s="67">
        <v>1</v>
      </c>
      <c r="G26" s="15">
        <f>D26/F26</f>
        <v>163800</v>
      </c>
      <c r="H26" s="16" t="s">
        <v>34</v>
      </c>
      <c r="I26" s="99" t="s">
        <v>35</v>
      </c>
    </row>
    <row r="27" spans="1:9" outlineLevel="1" x14ac:dyDescent="0.35">
      <c r="A27" s="3" t="s">
        <v>5</v>
      </c>
      <c r="B27" s="3" t="s">
        <v>6</v>
      </c>
      <c r="C27" s="89" t="s">
        <v>36</v>
      </c>
      <c r="D27" s="90"/>
      <c r="E27" s="90"/>
      <c r="F27" s="91">
        <v>12</v>
      </c>
      <c r="G27" s="92">
        <f>D27*F27</f>
        <v>0</v>
      </c>
      <c r="H27" s="88" t="s">
        <v>37</v>
      </c>
    </row>
    <row r="28" spans="1:9" outlineLevel="1" x14ac:dyDescent="0.35">
      <c r="C28" s="83" t="s">
        <v>38</v>
      </c>
      <c r="D28" s="12"/>
      <c r="E28" s="13"/>
      <c r="F28" s="14"/>
      <c r="G28" s="23"/>
      <c r="H28" s="16" t="s">
        <v>181</v>
      </c>
    </row>
    <row r="29" spans="1:9" outlineLevel="1" x14ac:dyDescent="0.35">
      <c r="C29" s="83" t="s">
        <v>40</v>
      </c>
      <c r="D29" s="13"/>
      <c r="E29" s="13"/>
      <c r="F29" s="14"/>
      <c r="G29" s="15"/>
      <c r="H29" s="16" t="s">
        <v>41</v>
      </c>
    </row>
    <row r="30" spans="1:9" x14ac:dyDescent="0.35">
      <c r="D30" s="100"/>
      <c r="E30" s="18"/>
      <c r="F30" s="99"/>
    </row>
    <row r="33" spans="3:4" x14ac:dyDescent="0.35">
      <c r="C33" t="s">
        <v>182</v>
      </c>
    </row>
    <row r="34" spans="3:4" x14ac:dyDescent="0.35">
      <c r="C34" t="s">
        <v>183</v>
      </c>
    </row>
    <row r="35" spans="3:4" x14ac:dyDescent="0.35">
      <c r="C35" t="s">
        <v>211</v>
      </c>
      <c r="D35" t="s">
        <v>197</v>
      </c>
    </row>
    <row r="36" spans="3:4" x14ac:dyDescent="0.35">
      <c r="C36" t="s">
        <v>212</v>
      </c>
      <c r="D36" t="s">
        <v>197</v>
      </c>
    </row>
    <row r="37" spans="3:4" x14ac:dyDescent="0.35">
      <c r="C37" t="s">
        <v>213</v>
      </c>
      <c r="D37" t="s">
        <v>197</v>
      </c>
    </row>
    <row r="38" spans="3:4" x14ac:dyDescent="0.35">
      <c r="C38" t="s">
        <v>214</v>
      </c>
    </row>
    <row r="39" spans="3:4" x14ac:dyDescent="0.35">
      <c r="C39" t="s">
        <v>215</v>
      </c>
    </row>
    <row r="40" spans="3:4" x14ac:dyDescent="0.35">
      <c r="C40" t="s">
        <v>216</v>
      </c>
    </row>
    <row r="42" spans="3:4" x14ac:dyDescent="0.35">
      <c r="C42" t="s">
        <v>217</v>
      </c>
    </row>
    <row r="43" spans="3:4" x14ac:dyDescent="0.35">
      <c r="C43" t="s">
        <v>218</v>
      </c>
    </row>
    <row r="45" spans="3:4" x14ac:dyDescent="0.35">
      <c r="C45" t="s">
        <v>219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E0D9-7110-49F5-AA25-B4DB39B0E389}">
  <dimension ref="A1:O162"/>
  <sheetViews>
    <sheetView tabSelected="1" topLeftCell="A142" workbookViewId="0">
      <selection activeCell="E9" sqref="E9"/>
    </sheetView>
  </sheetViews>
  <sheetFormatPr baseColWidth="10" defaultRowHeight="14.5" x14ac:dyDescent="0.35"/>
  <cols>
    <col min="1" max="1" width="4.6328125" bestFit="1" customWidth="1"/>
    <col min="2" max="2" width="16.36328125" bestFit="1" customWidth="1"/>
    <col min="3" max="3" width="34.7265625" bestFit="1" customWidth="1"/>
    <col min="4" max="4" width="10.81640625" bestFit="1" customWidth="1"/>
    <col min="5" max="5" width="20.36328125" bestFit="1" customWidth="1"/>
    <col min="6" max="6" width="60.90625" bestFit="1" customWidth="1"/>
    <col min="7" max="7" width="11.81640625" bestFit="1" customWidth="1"/>
    <col min="8" max="8" width="5.81640625" bestFit="1" customWidth="1"/>
    <col min="9" max="9" width="14.90625" style="147" bestFit="1" customWidth="1"/>
    <col min="10" max="10" width="19.7265625" style="147" bestFit="1" customWidth="1"/>
    <col min="11" max="11" width="16.453125" style="147" bestFit="1" customWidth="1"/>
    <col min="12" max="12" width="20.36328125" style="148" bestFit="1" customWidth="1"/>
    <col min="13" max="13" width="15.36328125" style="147" bestFit="1" customWidth="1"/>
    <col min="14" max="14" width="13.90625" bestFit="1" customWidth="1"/>
    <col min="15" max="15" width="105.81640625" bestFit="1" customWidth="1"/>
  </cols>
  <sheetData>
    <row r="1" spans="1:15" x14ac:dyDescent="0.35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  <c r="I1" s="147" t="s">
        <v>228</v>
      </c>
      <c r="J1" s="147" t="s">
        <v>229</v>
      </c>
      <c r="K1" s="147" t="s">
        <v>230</v>
      </c>
      <c r="L1" s="148" t="s">
        <v>231</v>
      </c>
      <c r="M1" s="147" t="s">
        <v>232</v>
      </c>
      <c r="N1" t="s">
        <v>233</v>
      </c>
      <c r="O1" t="s">
        <v>234</v>
      </c>
    </row>
    <row r="2" spans="1:15" x14ac:dyDescent="0.35">
      <c r="A2">
        <v>1</v>
      </c>
      <c r="B2" t="s">
        <v>235</v>
      </c>
      <c r="C2" t="s">
        <v>236</v>
      </c>
      <c r="D2" t="s">
        <v>237</v>
      </c>
      <c r="E2" t="s">
        <v>6</v>
      </c>
      <c r="F2" t="s">
        <v>238</v>
      </c>
      <c r="J2" s="147">
        <v>84252882.489999995</v>
      </c>
      <c r="K2" s="147">
        <v>84252882.489999995</v>
      </c>
      <c r="L2" s="148">
        <v>60</v>
      </c>
      <c r="M2" s="147">
        <v>1404214.71</v>
      </c>
      <c r="N2" t="s">
        <v>239</v>
      </c>
      <c r="O2" t="s">
        <v>240</v>
      </c>
    </row>
    <row r="3" spans="1:15" x14ac:dyDescent="0.35">
      <c r="A3">
        <v>2</v>
      </c>
      <c r="B3" t="s">
        <v>235</v>
      </c>
      <c r="C3" t="s">
        <v>236</v>
      </c>
      <c r="D3" t="s">
        <v>237</v>
      </c>
      <c r="E3" t="s">
        <v>6</v>
      </c>
      <c r="F3" t="s">
        <v>241</v>
      </c>
      <c r="J3" s="147">
        <v>10800</v>
      </c>
      <c r="L3" s="148">
        <v>12</v>
      </c>
      <c r="M3" s="147">
        <v>900</v>
      </c>
      <c r="N3" t="s">
        <v>239</v>
      </c>
    </row>
    <row r="4" spans="1:15" x14ac:dyDescent="0.35">
      <c r="A4">
        <v>3</v>
      </c>
      <c r="B4" t="s">
        <v>235</v>
      </c>
      <c r="C4" t="s">
        <v>236</v>
      </c>
      <c r="D4" t="s">
        <v>237</v>
      </c>
      <c r="E4" t="s">
        <v>6</v>
      </c>
      <c r="F4" t="s">
        <v>242</v>
      </c>
      <c r="J4" s="147">
        <v>73000</v>
      </c>
      <c r="L4" s="148">
        <v>12</v>
      </c>
      <c r="M4" s="147">
        <v>6083.33</v>
      </c>
      <c r="N4" t="s">
        <v>239</v>
      </c>
    </row>
    <row r="5" spans="1:15" x14ac:dyDescent="0.35">
      <c r="A5">
        <v>4</v>
      </c>
      <c r="B5" t="s">
        <v>235</v>
      </c>
      <c r="C5" t="s">
        <v>236</v>
      </c>
      <c r="D5" t="s">
        <v>237</v>
      </c>
      <c r="E5" t="s">
        <v>6</v>
      </c>
      <c r="F5" t="s">
        <v>243</v>
      </c>
      <c r="J5" s="147">
        <v>154000</v>
      </c>
      <c r="L5" s="148">
        <v>36</v>
      </c>
      <c r="M5" s="147">
        <v>4277.78</v>
      </c>
      <c r="N5" t="s">
        <v>239</v>
      </c>
    </row>
    <row r="6" spans="1:15" x14ac:dyDescent="0.35">
      <c r="A6">
        <v>5</v>
      </c>
      <c r="B6" t="s">
        <v>235</v>
      </c>
      <c r="C6" t="s">
        <v>236</v>
      </c>
      <c r="D6" t="s">
        <v>237</v>
      </c>
      <c r="E6" t="s">
        <v>6</v>
      </c>
      <c r="F6" t="s">
        <v>244</v>
      </c>
      <c r="J6" s="147">
        <v>390000</v>
      </c>
      <c r="L6" s="148">
        <v>24</v>
      </c>
      <c r="M6" s="147">
        <v>16250</v>
      </c>
      <c r="N6" t="s">
        <v>239</v>
      </c>
    </row>
    <row r="7" spans="1:15" x14ac:dyDescent="0.35">
      <c r="A7">
        <v>6</v>
      </c>
      <c r="B7" t="s">
        <v>235</v>
      </c>
      <c r="C7" t="s">
        <v>236</v>
      </c>
      <c r="D7" t="s">
        <v>237</v>
      </c>
      <c r="E7" t="s">
        <v>6</v>
      </c>
      <c r="F7" t="s">
        <v>245</v>
      </c>
      <c r="J7" s="147">
        <v>320000</v>
      </c>
      <c r="L7" s="148">
        <v>12</v>
      </c>
      <c r="M7" s="147">
        <v>26666.67</v>
      </c>
      <c r="N7" t="s">
        <v>239</v>
      </c>
    </row>
    <row r="8" spans="1:15" x14ac:dyDescent="0.35">
      <c r="A8">
        <v>7</v>
      </c>
      <c r="B8" t="s">
        <v>235</v>
      </c>
      <c r="C8" t="s">
        <v>236</v>
      </c>
      <c r="D8" t="s">
        <v>237</v>
      </c>
      <c r="E8" t="s">
        <v>6</v>
      </c>
      <c r="F8" t="s">
        <v>246</v>
      </c>
      <c r="J8" s="147">
        <v>52893</v>
      </c>
      <c r="L8" s="148">
        <v>12</v>
      </c>
      <c r="M8" s="147">
        <v>4407.75</v>
      </c>
      <c r="N8" t="s">
        <v>239</v>
      </c>
    </row>
    <row r="9" spans="1:15" x14ac:dyDescent="0.35">
      <c r="A9">
        <v>8</v>
      </c>
      <c r="B9" t="s">
        <v>235</v>
      </c>
      <c r="C9" t="s">
        <v>236</v>
      </c>
      <c r="D9" t="s">
        <v>237</v>
      </c>
      <c r="E9" t="s">
        <v>6</v>
      </c>
      <c r="F9" t="s">
        <v>247</v>
      </c>
      <c r="J9" s="147">
        <v>71000</v>
      </c>
      <c r="L9" s="148">
        <v>12</v>
      </c>
      <c r="M9" s="147">
        <v>5916.67</v>
      </c>
      <c r="N9" t="s">
        <v>239</v>
      </c>
    </row>
    <row r="10" spans="1:15" x14ac:dyDescent="0.35">
      <c r="A10">
        <v>9</v>
      </c>
      <c r="B10" t="s">
        <v>235</v>
      </c>
      <c r="C10" t="s">
        <v>236</v>
      </c>
      <c r="D10" t="s">
        <v>237</v>
      </c>
      <c r="E10" t="s">
        <v>6</v>
      </c>
      <c r="F10" t="s">
        <v>248</v>
      </c>
      <c r="J10" s="147">
        <v>236000</v>
      </c>
      <c r="L10" s="148">
        <v>12</v>
      </c>
      <c r="M10" s="147">
        <v>19666.669999999998</v>
      </c>
      <c r="N10" t="s">
        <v>239</v>
      </c>
    </row>
    <row r="11" spans="1:15" x14ac:dyDescent="0.35">
      <c r="A11">
        <v>10</v>
      </c>
      <c r="B11" t="s">
        <v>235</v>
      </c>
      <c r="C11" t="s">
        <v>236</v>
      </c>
      <c r="D11" t="s">
        <v>237</v>
      </c>
      <c r="E11" t="s">
        <v>6</v>
      </c>
      <c r="F11" t="s">
        <v>249</v>
      </c>
      <c r="J11" s="147">
        <v>180000</v>
      </c>
      <c r="L11" s="148">
        <v>24</v>
      </c>
      <c r="M11" s="147">
        <v>7500</v>
      </c>
      <c r="N11" t="s">
        <v>239</v>
      </c>
    </row>
    <row r="12" spans="1:15" x14ac:dyDescent="0.35">
      <c r="A12">
        <v>11</v>
      </c>
      <c r="B12" t="s">
        <v>235</v>
      </c>
      <c r="C12" t="s">
        <v>236</v>
      </c>
      <c r="D12" t="s">
        <v>237</v>
      </c>
      <c r="E12" t="s">
        <v>6</v>
      </c>
      <c r="F12" t="s">
        <v>250</v>
      </c>
      <c r="J12" s="147">
        <v>19500</v>
      </c>
      <c r="L12" s="148">
        <v>12</v>
      </c>
      <c r="M12" s="147">
        <v>1625</v>
      </c>
      <c r="N12" t="s">
        <v>239</v>
      </c>
    </row>
    <row r="13" spans="1:15" x14ac:dyDescent="0.35">
      <c r="A13">
        <v>12</v>
      </c>
      <c r="B13" t="s">
        <v>235</v>
      </c>
      <c r="C13" t="s">
        <v>236</v>
      </c>
      <c r="D13" t="s">
        <v>237</v>
      </c>
      <c r="E13" t="s">
        <v>6</v>
      </c>
      <c r="F13" t="s">
        <v>251</v>
      </c>
      <c r="J13" s="147">
        <v>22500</v>
      </c>
      <c r="L13" s="148">
        <v>12</v>
      </c>
      <c r="M13" s="147">
        <v>1875</v>
      </c>
      <c r="N13" t="s">
        <v>239</v>
      </c>
    </row>
    <row r="14" spans="1:15" x14ac:dyDescent="0.35">
      <c r="A14">
        <v>13</v>
      </c>
      <c r="B14" t="s">
        <v>235</v>
      </c>
      <c r="C14" t="s">
        <v>236</v>
      </c>
      <c r="D14" t="s">
        <v>237</v>
      </c>
      <c r="E14" t="s">
        <v>6</v>
      </c>
      <c r="F14" t="s">
        <v>252</v>
      </c>
      <c r="H14">
        <v>6</v>
      </c>
      <c r="J14" s="147">
        <v>1500000</v>
      </c>
      <c r="L14" s="148">
        <v>36</v>
      </c>
      <c r="M14" s="147">
        <v>41666.67</v>
      </c>
      <c r="N14" t="s">
        <v>239</v>
      </c>
      <c r="O14" t="s">
        <v>23</v>
      </c>
    </row>
    <row r="15" spans="1:15" x14ac:dyDescent="0.35">
      <c r="A15">
        <v>14</v>
      </c>
      <c r="B15" t="s">
        <v>235</v>
      </c>
      <c r="C15" t="s">
        <v>236</v>
      </c>
      <c r="D15" t="s">
        <v>237</v>
      </c>
      <c r="E15" t="s">
        <v>6</v>
      </c>
      <c r="F15" t="s">
        <v>253</v>
      </c>
      <c r="J15" s="147">
        <v>166239</v>
      </c>
      <c r="L15" s="148">
        <v>12</v>
      </c>
      <c r="M15" s="147">
        <v>13853.25</v>
      </c>
      <c r="N15" t="s">
        <v>239</v>
      </c>
    </row>
    <row r="16" spans="1:15" x14ac:dyDescent="0.35">
      <c r="A16">
        <v>15</v>
      </c>
      <c r="B16" t="s">
        <v>235</v>
      </c>
      <c r="C16" t="s">
        <v>236</v>
      </c>
      <c r="D16" t="s">
        <v>237</v>
      </c>
      <c r="E16" t="s">
        <v>6</v>
      </c>
      <c r="F16" t="s">
        <v>254</v>
      </c>
      <c r="J16" s="147">
        <v>208500</v>
      </c>
      <c r="K16" s="147">
        <v>208500</v>
      </c>
      <c r="L16" s="148">
        <v>12</v>
      </c>
      <c r="M16" s="147">
        <v>17375</v>
      </c>
      <c r="N16" t="s">
        <v>239</v>
      </c>
    </row>
    <row r="17" spans="1:15" x14ac:dyDescent="0.35">
      <c r="A17">
        <v>16</v>
      </c>
      <c r="B17" t="s">
        <v>235</v>
      </c>
      <c r="C17" t="s">
        <v>236</v>
      </c>
      <c r="D17" t="s">
        <v>237</v>
      </c>
      <c r="E17" t="s">
        <v>6</v>
      </c>
      <c r="F17" t="s">
        <v>255</v>
      </c>
      <c r="J17" s="147">
        <v>391000</v>
      </c>
      <c r="L17" s="148">
        <v>12</v>
      </c>
      <c r="M17" s="147">
        <v>32583.33</v>
      </c>
      <c r="N17" t="s">
        <v>239</v>
      </c>
    </row>
    <row r="18" spans="1:15" x14ac:dyDescent="0.35">
      <c r="A18">
        <v>17</v>
      </c>
      <c r="B18" t="s">
        <v>235</v>
      </c>
      <c r="C18" t="s">
        <v>236</v>
      </c>
      <c r="D18" t="s">
        <v>237</v>
      </c>
      <c r="E18" t="s">
        <v>6</v>
      </c>
      <c r="F18" t="s">
        <v>256</v>
      </c>
      <c r="J18" s="147">
        <v>140000</v>
      </c>
      <c r="L18" s="148">
        <v>24</v>
      </c>
      <c r="M18" s="147">
        <v>5833.33</v>
      </c>
      <c r="N18" t="s">
        <v>239</v>
      </c>
    </row>
    <row r="19" spans="1:15" x14ac:dyDescent="0.35">
      <c r="A19">
        <v>18</v>
      </c>
      <c r="B19" t="s">
        <v>235</v>
      </c>
      <c r="C19" t="s">
        <v>236</v>
      </c>
      <c r="D19" t="s">
        <v>237</v>
      </c>
      <c r="E19" t="s">
        <v>6</v>
      </c>
      <c r="F19" t="s">
        <v>257</v>
      </c>
      <c r="J19" s="147">
        <v>233306</v>
      </c>
      <c r="L19" s="148">
        <v>36</v>
      </c>
      <c r="M19" s="147">
        <v>6480.72</v>
      </c>
      <c r="N19" t="s">
        <v>239</v>
      </c>
    </row>
    <row r="20" spans="1:15" x14ac:dyDescent="0.35">
      <c r="A20">
        <v>19</v>
      </c>
      <c r="B20" t="s">
        <v>235</v>
      </c>
      <c r="C20" t="s">
        <v>236</v>
      </c>
      <c r="D20" t="s">
        <v>237</v>
      </c>
      <c r="E20" t="s">
        <v>6</v>
      </c>
      <c r="F20" t="s">
        <v>258</v>
      </c>
      <c r="J20" s="147">
        <v>177000</v>
      </c>
      <c r="L20" s="148">
        <v>12</v>
      </c>
      <c r="M20" s="147">
        <v>14750</v>
      </c>
      <c r="N20" t="s">
        <v>239</v>
      </c>
    </row>
    <row r="21" spans="1:15" x14ac:dyDescent="0.35">
      <c r="A21">
        <v>20</v>
      </c>
      <c r="B21" t="s">
        <v>235</v>
      </c>
      <c r="C21" t="s">
        <v>236</v>
      </c>
      <c r="D21" t="s">
        <v>237</v>
      </c>
      <c r="E21" t="s">
        <v>6</v>
      </c>
      <c r="F21" t="s">
        <v>259</v>
      </c>
      <c r="J21" s="147">
        <v>174</v>
      </c>
      <c r="K21" s="147">
        <v>174</v>
      </c>
      <c r="L21" s="148">
        <v>24</v>
      </c>
      <c r="M21" s="147">
        <v>7.25</v>
      </c>
      <c r="N21" t="s">
        <v>239</v>
      </c>
    </row>
    <row r="22" spans="1:15" x14ac:dyDescent="0.35">
      <c r="A22">
        <v>21</v>
      </c>
      <c r="B22" t="s">
        <v>235</v>
      </c>
      <c r="C22" t="s">
        <v>236</v>
      </c>
      <c r="D22" t="s">
        <v>237</v>
      </c>
      <c r="E22" t="s">
        <v>6</v>
      </c>
      <c r="F22" t="s">
        <v>31</v>
      </c>
      <c r="J22" s="147">
        <v>29025</v>
      </c>
      <c r="K22" s="147">
        <v>29025</v>
      </c>
      <c r="L22" s="148">
        <v>1</v>
      </c>
      <c r="M22" s="147">
        <v>29025</v>
      </c>
      <c r="N22" t="s">
        <v>239</v>
      </c>
    </row>
    <row r="23" spans="1:15" x14ac:dyDescent="0.35">
      <c r="A23">
        <v>22</v>
      </c>
      <c r="B23" t="s">
        <v>235</v>
      </c>
      <c r="C23" t="s">
        <v>236</v>
      </c>
      <c r="D23" t="s">
        <v>237</v>
      </c>
      <c r="E23" t="s">
        <v>6</v>
      </c>
      <c r="F23" t="s">
        <v>260</v>
      </c>
      <c r="J23" s="147">
        <v>530000</v>
      </c>
      <c r="L23" s="148">
        <v>24</v>
      </c>
      <c r="M23" s="147">
        <v>22083.33</v>
      </c>
      <c r="N23" t="s">
        <v>239</v>
      </c>
    </row>
    <row r="24" spans="1:15" x14ac:dyDescent="0.35">
      <c r="A24">
        <v>23</v>
      </c>
      <c r="B24" t="s">
        <v>235</v>
      </c>
      <c r="C24" t="s">
        <v>236</v>
      </c>
      <c r="D24" t="s">
        <v>237</v>
      </c>
      <c r="E24" t="s">
        <v>6</v>
      </c>
      <c r="F24" t="s">
        <v>261</v>
      </c>
      <c r="J24" s="147">
        <v>66668</v>
      </c>
      <c r="L24" s="148">
        <v>1</v>
      </c>
      <c r="M24" s="147">
        <v>66668</v>
      </c>
      <c r="N24" t="s">
        <v>239</v>
      </c>
    </row>
    <row r="25" spans="1:15" x14ac:dyDescent="0.35">
      <c r="A25">
        <v>24</v>
      </c>
      <c r="B25" t="s">
        <v>235</v>
      </c>
      <c r="C25" t="s">
        <v>236</v>
      </c>
      <c r="D25" t="s">
        <v>237</v>
      </c>
      <c r="E25" t="s">
        <v>6</v>
      </c>
      <c r="F25" t="s">
        <v>32</v>
      </c>
      <c r="J25" s="147">
        <v>55000</v>
      </c>
      <c r="L25" s="148">
        <v>1</v>
      </c>
      <c r="M25" s="147">
        <v>55000</v>
      </c>
      <c r="N25" t="s">
        <v>239</v>
      </c>
    </row>
    <row r="26" spans="1:15" x14ac:dyDescent="0.35">
      <c r="A26">
        <v>25</v>
      </c>
      <c r="B26" t="s">
        <v>235</v>
      </c>
      <c r="C26" t="s">
        <v>236</v>
      </c>
      <c r="D26" t="s">
        <v>237</v>
      </c>
      <c r="E26" t="s">
        <v>6</v>
      </c>
      <c r="F26" t="s">
        <v>33</v>
      </c>
      <c r="J26" s="147">
        <v>163800</v>
      </c>
      <c r="L26" s="148">
        <v>1</v>
      </c>
      <c r="M26" s="147">
        <v>163800</v>
      </c>
      <c r="N26" t="s">
        <v>239</v>
      </c>
      <c r="O26" t="s">
        <v>262</v>
      </c>
    </row>
    <row r="27" spans="1:15" x14ac:dyDescent="0.35">
      <c r="A27">
        <v>26</v>
      </c>
      <c r="B27" t="s">
        <v>235</v>
      </c>
      <c r="C27" t="s">
        <v>236</v>
      </c>
      <c r="D27" t="s">
        <v>237</v>
      </c>
      <c r="E27" t="s">
        <v>6</v>
      </c>
      <c r="F27" t="s">
        <v>263</v>
      </c>
      <c r="L27" s="148">
        <v>12</v>
      </c>
      <c r="M27" s="147">
        <v>0</v>
      </c>
      <c r="N27" t="s">
        <v>239</v>
      </c>
      <c r="O27" t="s">
        <v>264</v>
      </c>
    </row>
    <row r="28" spans="1:15" x14ac:dyDescent="0.35">
      <c r="A28">
        <v>27</v>
      </c>
      <c r="B28" t="s">
        <v>235</v>
      </c>
      <c r="C28" t="s">
        <v>236</v>
      </c>
      <c r="D28" t="s">
        <v>237</v>
      </c>
      <c r="E28" t="s">
        <v>6</v>
      </c>
      <c r="F28" t="s">
        <v>265</v>
      </c>
      <c r="N28" t="s">
        <v>239</v>
      </c>
      <c r="O28" t="s">
        <v>266</v>
      </c>
    </row>
    <row r="29" spans="1:15" x14ac:dyDescent="0.35">
      <c r="A29">
        <v>28</v>
      </c>
      <c r="B29" t="s">
        <v>235</v>
      </c>
      <c r="C29" t="s">
        <v>236</v>
      </c>
      <c r="D29" t="s">
        <v>237</v>
      </c>
      <c r="E29" t="s">
        <v>6</v>
      </c>
      <c r="F29" t="s">
        <v>267</v>
      </c>
      <c r="N29" t="s">
        <v>239</v>
      </c>
      <c r="O29" t="s">
        <v>268</v>
      </c>
    </row>
    <row r="30" spans="1:15" x14ac:dyDescent="0.35">
      <c r="A30">
        <v>29</v>
      </c>
      <c r="B30" t="s">
        <v>235</v>
      </c>
      <c r="C30" t="s">
        <v>4</v>
      </c>
      <c r="N30" t="s">
        <v>269</v>
      </c>
      <c r="O30" t="s">
        <v>270</v>
      </c>
    </row>
    <row r="31" spans="1:15" x14ac:dyDescent="0.35">
      <c r="A31">
        <v>30</v>
      </c>
      <c r="B31" t="s">
        <v>235</v>
      </c>
      <c r="C31" t="s">
        <v>4</v>
      </c>
      <c r="N31" t="s">
        <v>269</v>
      </c>
      <c r="O31" t="s">
        <v>271</v>
      </c>
    </row>
    <row r="32" spans="1:15" x14ac:dyDescent="0.35">
      <c r="A32">
        <v>31</v>
      </c>
      <c r="B32" t="s">
        <v>235</v>
      </c>
      <c r="C32" t="s">
        <v>4</v>
      </c>
      <c r="N32" t="s">
        <v>269</v>
      </c>
      <c r="O32" t="s">
        <v>272</v>
      </c>
    </row>
    <row r="33" spans="1:15" x14ac:dyDescent="0.35">
      <c r="A33">
        <v>32</v>
      </c>
      <c r="B33" t="s">
        <v>235</v>
      </c>
      <c r="C33" t="s">
        <v>4</v>
      </c>
      <c r="N33" t="s">
        <v>269</v>
      </c>
      <c r="O33" t="s">
        <v>273</v>
      </c>
    </row>
    <row r="34" spans="1:15" x14ac:dyDescent="0.35">
      <c r="A34">
        <v>33</v>
      </c>
      <c r="B34" t="s">
        <v>235</v>
      </c>
      <c r="C34" t="s">
        <v>4</v>
      </c>
      <c r="N34" t="s">
        <v>269</v>
      </c>
      <c r="O34" t="s">
        <v>274</v>
      </c>
    </row>
    <row r="35" spans="1:15" x14ac:dyDescent="0.35">
      <c r="A35">
        <v>34</v>
      </c>
      <c r="B35" t="s">
        <v>235</v>
      </c>
      <c r="C35" t="s">
        <v>4</v>
      </c>
      <c r="N35" t="s">
        <v>269</v>
      </c>
      <c r="O35" t="s">
        <v>275</v>
      </c>
    </row>
    <row r="36" spans="1:15" x14ac:dyDescent="0.35">
      <c r="A36">
        <v>35</v>
      </c>
      <c r="B36" t="s">
        <v>235</v>
      </c>
      <c r="C36" t="s">
        <v>4</v>
      </c>
      <c r="N36" t="s">
        <v>269</v>
      </c>
      <c r="O36" t="s">
        <v>276</v>
      </c>
    </row>
    <row r="37" spans="1:15" x14ac:dyDescent="0.35">
      <c r="A37">
        <v>36</v>
      </c>
      <c r="B37" t="s">
        <v>235</v>
      </c>
      <c r="C37" t="s">
        <v>4</v>
      </c>
      <c r="N37" t="s">
        <v>269</v>
      </c>
      <c r="O37" t="s">
        <v>277</v>
      </c>
    </row>
    <row r="38" spans="1:15" x14ac:dyDescent="0.35">
      <c r="A38">
        <v>37</v>
      </c>
      <c r="B38" t="s">
        <v>235</v>
      </c>
      <c r="C38" t="s">
        <v>4</v>
      </c>
      <c r="N38" t="s">
        <v>269</v>
      </c>
      <c r="O38" t="s">
        <v>278</v>
      </c>
    </row>
    <row r="39" spans="1:15" x14ac:dyDescent="0.35">
      <c r="A39">
        <v>38</v>
      </c>
      <c r="B39" t="s">
        <v>235</v>
      </c>
      <c r="C39" t="s">
        <v>4</v>
      </c>
      <c r="N39" t="s">
        <v>269</v>
      </c>
      <c r="O39" t="s">
        <v>279</v>
      </c>
    </row>
    <row r="40" spans="1:15" x14ac:dyDescent="0.35">
      <c r="A40">
        <v>39</v>
      </c>
      <c r="B40" t="s">
        <v>280</v>
      </c>
      <c r="C40" t="s">
        <v>281</v>
      </c>
      <c r="D40" t="s">
        <v>237</v>
      </c>
      <c r="E40" t="s">
        <v>282</v>
      </c>
      <c r="F40" t="s">
        <v>283</v>
      </c>
      <c r="J40" s="147">
        <v>49500000</v>
      </c>
      <c r="K40" s="147">
        <v>49500000</v>
      </c>
      <c r="L40" s="148">
        <v>60</v>
      </c>
      <c r="M40" s="147">
        <v>825000</v>
      </c>
      <c r="N40" t="s">
        <v>239</v>
      </c>
      <c r="O40" t="s">
        <v>284</v>
      </c>
    </row>
    <row r="41" spans="1:15" x14ac:dyDescent="0.35">
      <c r="A41">
        <v>40</v>
      </c>
      <c r="B41" t="s">
        <v>280</v>
      </c>
      <c r="C41" t="s">
        <v>281</v>
      </c>
      <c r="D41" t="s">
        <v>237</v>
      </c>
      <c r="E41" t="s">
        <v>282</v>
      </c>
      <c r="F41" t="s">
        <v>241</v>
      </c>
      <c r="J41" s="147">
        <v>21600</v>
      </c>
      <c r="L41" s="148">
        <v>12</v>
      </c>
      <c r="M41" s="147">
        <v>1800</v>
      </c>
      <c r="N41" t="s">
        <v>239</v>
      </c>
      <c r="O41" t="s">
        <v>46</v>
      </c>
    </row>
    <row r="42" spans="1:15" x14ac:dyDescent="0.35">
      <c r="A42">
        <v>41</v>
      </c>
      <c r="B42" t="s">
        <v>280</v>
      </c>
      <c r="C42" t="s">
        <v>281</v>
      </c>
      <c r="D42" t="s">
        <v>237</v>
      </c>
      <c r="E42" t="s">
        <v>282</v>
      </c>
      <c r="F42" t="s">
        <v>285</v>
      </c>
      <c r="J42" s="147">
        <v>154000</v>
      </c>
      <c r="L42" s="148">
        <v>36</v>
      </c>
      <c r="M42" s="147">
        <v>4277.78</v>
      </c>
      <c r="N42" t="s">
        <v>239</v>
      </c>
      <c r="O42" t="s">
        <v>286</v>
      </c>
    </row>
    <row r="43" spans="1:15" x14ac:dyDescent="0.35">
      <c r="A43">
        <v>42</v>
      </c>
      <c r="B43" t="s">
        <v>280</v>
      </c>
      <c r="C43" t="s">
        <v>281</v>
      </c>
      <c r="D43" t="s">
        <v>237</v>
      </c>
      <c r="E43" t="s">
        <v>282</v>
      </c>
      <c r="F43" t="s">
        <v>242</v>
      </c>
      <c r="J43" s="147">
        <v>73000</v>
      </c>
      <c r="L43" s="148">
        <v>12</v>
      </c>
      <c r="M43" s="147">
        <v>6083.33</v>
      </c>
      <c r="N43" t="s">
        <v>239</v>
      </c>
      <c r="O43" t="s">
        <v>49</v>
      </c>
    </row>
    <row r="44" spans="1:15" x14ac:dyDescent="0.35">
      <c r="A44">
        <v>43</v>
      </c>
      <c r="B44" t="s">
        <v>280</v>
      </c>
      <c r="C44" t="s">
        <v>281</v>
      </c>
      <c r="D44" t="s">
        <v>237</v>
      </c>
      <c r="E44" t="s">
        <v>282</v>
      </c>
      <c r="F44" t="s">
        <v>287</v>
      </c>
      <c r="J44" s="147">
        <v>373000</v>
      </c>
      <c r="L44" s="148">
        <v>24</v>
      </c>
      <c r="M44" s="147">
        <v>15541.67</v>
      </c>
      <c r="N44" t="s">
        <v>239</v>
      </c>
      <c r="O44" t="s">
        <v>288</v>
      </c>
    </row>
    <row r="45" spans="1:15" x14ac:dyDescent="0.35">
      <c r="A45">
        <v>44</v>
      </c>
      <c r="B45" t="s">
        <v>280</v>
      </c>
      <c r="C45" t="s">
        <v>281</v>
      </c>
      <c r="D45" t="s">
        <v>237</v>
      </c>
      <c r="E45" t="s">
        <v>282</v>
      </c>
      <c r="F45" t="s">
        <v>246</v>
      </c>
      <c r="J45" s="147">
        <v>52893</v>
      </c>
      <c r="L45" s="148">
        <v>12</v>
      </c>
      <c r="M45" s="147">
        <v>4407.75</v>
      </c>
      <c r="N45" t="s">
        <v>239</v>
      </c>
      <c r="O45" t="s">
        <v>53</v>
      </c>
    </row>
    <row r="46" spans="1:15" x14ac:dyDescent="0.35">
      <c r="A46">
        <v>45</v>
      </c>
      <c r="B46" t="s">
        <v>280</v>
      </c>
      <c r="C46" t="s">
        <v>281</v>
      </c>
      <c r="D46" t="s">
        <v>237</v>
      </c>
      <c r="E46" t="s">
        <v>282</v>
      </c>
      <c r="F46" t="s">
        <v>289</v>
      </c>
      <c r="J46" s="147">
        <v>280000</v>
      </c>
      <c r="L46" s="148">
        <v>12</v>
      </c>
      <c r="M46" s="147">
        <v>23333.33</v>
      </c>
      <c r="N46" t="s">
        <v>239</v>
      </c>
      <c r="O46" t="s">
        <v>290</v>
      </c>
    </row>
    <row r="47" spans="1:15" x14ac:dyDescent="0.35">
      <c r="A47">
        <v>46</v>
      </c>
      <c r="B47" t="s">
        <v>280</v>
      </c>
      <c r="C47" t="s">
        <v>281</v>
      </c>
      <c r="D47" t="s">
        <v>237</v>
      </c>
      <c r="E47" t="s">
        <v>282</v>
      </c>
      <c r="F47" t="s">
        <v>248</v>
      </c>
      <c r="J47" s="147">
        <v>236000</v>
      </c>
      <c r="L47" s="148">
        <v>24</v>
      </c>
      <c r="M47" s="147">
        <v>9833.33</v>
      </c>
      <c r="N47" t="s">
        <v>239</v>
      </c>
      <c r="O47" t="s">
        <v>288</v>
      </c>
    </row>
    <row r="48" spans="1:15" x14ac:dyDescent="0.35">
      <c r="A48">
        <v>47</v>
      </c>
      <c r="B48" t="s">
        <v>280</v>
      </c>
      <c r="C48" t="s">
        <v>281</v>
      </c>
      <c r="D48" t="s">
        <v>237</v>
      </c>
      <c r="E48" t="s">
        <v>282</v>
      </c>
      <c r="F48" t="s">
        <v>291</v>
      </c>
      <c r="J48" s="147">
        <v>180000</v>
      </c>
      <c r="L48" s="148">
        <v>12</v>
      </c>
      <c r="M48" s="147">
        <v>15000</v>
      </c>
      <c r="N48" t="s">
        <v>239</v>
      </c>
      <c r="O48" t="s">
        <v>292</v>
      </c>
    </row>
    <row r="49" spans="1:15" x14ac:dyDescent="0.35">
      <c r="A49">
        <v>48</v>
      </c>
      <c r="B49" t="s">
        <v>280</v>
      </c>
      <c r="C49" t="s">
        <v>281</v>
      </c>
      <c r="D49" t="s">
        <v>237</v>
      </c>
      <c r="E49" t="s">
        <v>282</v>
      </c>
      <c r="F49" t="s">
        <v>250</v>
      </c>
      <c r="J49" s="147">
        <v>19500</v>
      </c>
      <c r="L49" s="148">
        <v>12</v>
      </c>
      <c r="M49" s="147">
        <v>1625</v>
      </c>
      <c r="N49" t="s">
        <v>239</v>
      </c>
      <c r="O49" t="s">
        <v>293</v>
      </c>
    </row>
    <row r="50" spans="1:15" x14ac:dyDescent="0.35">
      <c r="A50">
        <v>49</v>
      </c>
      <c r="B50" t="s">
        <v>280</v>
      </c>
      <c r="C50" t="s">
        <v>281</v>
      </c>
      <c r="D50" t="s">
        <v>237</v>
      </c>
      <c r="E50" t="s">
        <v>282</v>
      </c>
      <c r="F50" t="s">
        <v>294</v>
      </c>
      <c r="J50" s="147">
        <v>22500</v>
      </c>
      <c r="L50" s="148">
        <v>12</v>
      </c>
      <c r="M50" s="147">
        <v>1875</v>
      </c>
      <c r="N50" t="s">
        <v>239</v>
      </c>
      <c r="O50" t="s">
        <v>293</v>
      </c>
    </row>
    <row r="51" spans="1:15" x14ac:dyDescent="0.35">
      <c r="A51">
        <v>50</v>
      </c>
      <c r="B51" t="s">
        <v>280</v>
      </c>
      <c r="C51" t="s">
        <v>281</v>
      </c>
      <c r="D51" t="s">
        <v>237</v>
      </c>
      <c r="E51" t="s">
        <v>282</v>
      </c>
      <c r="F51" t="s">
        <v>295</v>
      </c>
      <c r="J51" s="147">
        <v>2757200</v>
      </c>
      <c r="L51" s="148">
        <v>12</v>
      </c>
      <c r="M51" s="147">
        <v>229766.67</v>
      </c>
      <c r="N51" t="s">
        <v>239</v>
      </c>
      <c r="O51" t="s">
        <v>296</v>
      </c>
    </row>
    <row r="52" spans="1:15" x14ac:dyDescent="0.35">
      <c r="A52">
        <v>51</v>
      </c>
      <c r="B52" t="s">
        <v>280</v>
      </c>
      <c r="C52" t="s">
        <v>281</v>
      </c>
      <c r="D52" t="s">
        <v>237</v>
      </c>
      <c r="E52" t="s">
        <v>282</v>
      </c>
      <c r="F52" t="s">
        <v>297</v>
      </c>
      <c r="J52" s="147">
        <v>166239</v>
      </c>
      <c r="L52" s="148">
        <v>6</v>
      </c>
      <c r="M52" s="147">
        <v>27706.5</v>
      </c>
      <c r="N52" t="s">
        <v>239</v>
      </c>
      <c r="O52" t="s">
        <v>296</v>
      </c>
    </row>
    <row r="53" spans="1:15" x14ac:dyDescent="0.35">
      <c r="A53">
        <v>52</v>
      </c>
      <c r="B53" t="s">
        <v>280</v>
      </c>
      <c r="C53" t="s">
        <v>281</v>
      </c>
      <c r="D53" t="s">
        <v>237</v>
      </c>
      <c r="E53" t="s">
        <v>282</v>
      </c>
      <c r="F53" t="s">
        <v>254</v>
      </c>
      <c r="J53" s="147">
        <v>208500</v>
      </c>
      <c r="K53" s="147">
        <v>208500</v>
      </c>
      <c r="L53" s="148">
        <v>12</v>
      </c>
      <c r="M53" s="147">
        <v>17375</v>
      </c>
      <c r="N53" t="s">
        <v>239</v>
      </c>
      <c r="O53" t="s">
        <v>293</v>
      </c>
    </row>
    <row r="54" spans="1:15" x14ac:dyDescent="0.35">
      <c r="A54">
        <v>53</v>
      </c>
      <c r="B54" t="s">
        <v>280</v>
      </c>
      <c r="C54" t="s">
        <v>281</v>
      </c>
      <c r="D54" t="s">
        <v>237</v>
      </c>
      <c r="E54" t="s">
        <v>282</v>
      </c>
      <c r="F54" t="s">
        <v>255</v>
      </c>
      <c r="J54" s="147">
        <v>338500</v>
      </c>
      <c r="L54" s="148">
        <v>2</v>
      </c>
      <c r="M54" s="147">
        <v>169250</v>
      </c>
      <c r="N54" t="s">
        <v>239</v>
      </c>
      <c r="O54" t="s">
        <v>298</v>
      </c>
    </row>
    <row r="55" spans="1:15" x14ac:dyDescent="0.35">
      <c r="A55">
        <v>54</v>
      </c>
      <c r="B55" t="s">
        <v>280</v>
      </c>
      <c r="C55" t="s">
        <v>281</v>
      </c>
      <c r="D55" t="s">
        <v>237</v>
      </c>
      <c r="E55" t="s">
        <v>282</v>
      </c>
      <c r="F55" t="s">
        <v>256</v>
      </c>
      <c r="J55" s="147">
        <v>140000</v>
      </c>
      <c r="L55" s="148">
        <v>24</v>
      </c>
      <c r="M55" s="147">
        <v>5833.33</v>
      </c>
      <c r="N55" t="s">
        <v>239</v>
      </c>
      <c r="O55" t="s">
        <v>299</v>
      </c>
    </row>
    <row r="56" spans="1:15" x14ac:dyDescent="0.35">
      <c r="A56">
        <v>55</v>
      </c>
      <c r="B56" t="s">
        <v>280</v>
      </c>
      <c r="C56" t="s">
        <v>281</v>
      </c>
      <c r="D56" t="s">
        <v>237</v>
      </c>
      <c r="E56" t="s">
        <v>282</v>
      </c>
      <c r="F56" t="s">
        <v>300</v>
      </c>
      <c r="J56" s="147">
        <v>354000</v>
      </c>
      <c r="L56" s="148">
        <v>12</v>
      </c>
      <c r="M56" s="147">
        <v>29500</v>
      </c>
      <c r="N56" t="s">
        <v>239</v>
      </c>
      <c r="O56" t="s">
        <v>296</v>
      </c>
    </row>
    <row r="57" spans="1:15" x14ac:dyDescent="0.35">
      <c r="A57">
        <v>56</v>
      </c>
      <c r="B57" t="s">
        <v>280</v>
      </c>
      <c r="C57" t="s">
        <v>281</v>
      </c>
      <c r="D57" t="s">
        <v>237</v>
      </c>
      <c r="E57" t="s">
        <v>282</v>
      </c>
      <c r="F57" t="s">
        <v>259</v>
      </c>
      <c r="J57" s="147">
        <v>174</v>
      </c>
      <c r="K57" s="147">
        <v>174</v>
      </c>
      <c r="L57" s="148">
        <v>12</v>
      </c>
      <c r="M57" s="147">
        <v>14.5</v>
      </c>
      <c r="N57" t="s">
        <v>239</v>
      </c>
    </row>
    <row r="58" spans="1:15" x14ac:dyDescent="0.35">
      <c r="A58">
        <v>57</v>
      </c>
      <c r="B58" t="s">
        <v>280</v>
      </c>
      <c r="C58" t="s">
        <v>281</v>
      </c>
      <c r="D58" t="s">
        <v>237</v>
      </c>
      <c r="E58" t="s">
        <v>282</v>
      </c>
      <c r="F58" t="s">
        <v>31</v>
      </c>
      <c r="J58" s="147">
        <v>29025</v>
      </c>
      <c r="K58" s="147">
        <v>29025</v>
      </c>
      <c r="L58" s="148">
        <v>1</v>
      </c>
      <c r="M58" s="147">
        <v>29025</v>
      </c>
      <c r="N58" t="s">
        <v>239</v>
      </c>
      <c r="O58" t="s">
        <v>143</v>
      </c>
    </row>
    <row r="59" spans="1:15" x14ac:dyDescent="0.35">
      <c r="A59">
        <v>58</v>
      </c>
      <c r="B59" t="s">
        <v>280</v>
      </c>
      <c r="C59" t="s">
        <v>281</v>
      </c>
      <c r="D59" t="s">
        <v>237</v>
      </c>
      <c r="E59" t="s">
        <v>282</v>
      </c>
      <c r="F59" t="s">
        <v>202</v>
      </c>
      <c r="J59" s="147">
        <v>338000</v>
      </c>
      <c r="L59" s="148">
        <v>24</v>
      </c>
      <c r="M59" s="147">
        <v>14083.33</v>
      </c>
      <c r="N59" t="s">
        <v>239</v>
      </c>
      <c r="O59" t="s">
        <v>299</v>
      </c>
    </row>
    <row r="60" spans="1:15" x14ac:dyDescent="0.35">
      <c r="A60">
        <v>59</v>
      </c>
      <c r="B60" t="s">
        <v>280</v>
      </c>
      <c r="C60" t="s">
        <v>281</v>
      </c>
      <c r="D60" t="s">
        <v>237</v>
      </c>
      <c r="E60" t="s">
        <v>282</v>
      </c>
      <c r="F60" t="s">
        <v>203</v>
      </c>
      <c r="J60" s="147">
        <v>330000</v>
      </c>
      <c r="L60" s="148">
        <v>24</v>
      </c>
      <c r="M60" s="147">
        <v>13750</v>
      </c>
      <c r="N60" t="s">
        <v>239</v>
      </c>
      <c r="O60" t="s">
        <v>299</v>
      </c>
    </row>
    <row r="61" spans="1:15" x14ac:dyDescent="0.35">
      <c r="A61">
        <v>60</v>
      </c>
      <c r="B61" t="s">
        <v>280</v>
      </c>
      <c r="C61" t="s">
        <v>281</v>
      </c>
      <c r="D61" t="s">
        <v>237</v>
      </c>
      <c r="E61" t="s">
        <v>282</v>
      </c>
      <c r="F61" t="s">
        <v>260</v>
      </c>
      <c r="J61" s="147">
        <v>430000</v>
      </c>
      <c r="L61" s="148">
        <v>24</v>
      </c>
      <c r="M61" s="147">
        <v>17916.669999999998</v>
      </c>
      <c r="N61" t="s">
        <v>239</v>
      </c>
    </row>
    <row r="62" spans="1:15" x14ac:dyDescent="0.35">
      <c r="A62">
        <v>61</v>
      </c>
      <c r="B62" t="s">
        <v>280</v>
      </c>
      <c r="C62" t="s">
        <v>281</v>
      </c>
      <c r="D62" t="s">
        <v>237</v>
      </c>
      <c r="E62" t="s">
        <v>282</v>
      </c>
      <c r="F62" t="s">
        <v>261</v>
      </c>
      <c r="J62" s="147">
        <v>66668</v>
      </c>
      <c r="L62" s="148">
        <v>1</v>
      </c>
      <c r="M62" s="147">
        <v>66668</v>
      </c>
      <c r="N62" t="s">
        <v>239</v>
      </c>
    </row>
    <row r="63" spans="1:15" x14ac:dyDescent="0.35">
      <c r="A63">
        <v>62</v>
      </c>
      <c r="B63" t="s">
        <v>280</v>
      </c>
      <c r="C63" t="s">
        <v>281</v>
      </c>
      <c r="D63" t="s">
        <v>237</v>
      </c>
      <c r="E63" t="s">
        <v>282</v>
      </c>
      <c r="F63" t="s">
        <v>32</v>
      </c>
      <c r="J63" s="147">
        <v>110000</v>
      </c>
      <c r="L63" s="148">
        <v>1</v>
      </c>
      <c r="M63" s="147">
        <v>110000</v>
      </c>
      <c r="N63" t="s">
        <v>239</v>
      </c>
      <c r="O63" t="s">
        <v>70</v>
      </c>
    </row>
    <row r="64" spans="1:15" x14ac:dyDescent="0.35">
      <c r="A64">
        <v>63</v>
      </c>
      <c r="B64" t="s">
        <v>280</v>
      </c>
      <c r="C64" t="s">
        <v>281</v>
      </c>
      <c r="D64" t="s">
        <v>237</v>
      </c>
      <c r="E64" t="s">
        <v>282</v>
      </c>
      <c r="F64" t="s">
        <v>33</v>
      </c>
      <c r="L64" s="148">
        <v>1</v>
      </c>
      <c r="M64" s="147">
        <v>0</v>
      </c>
      <c r="N64" t="s">
        <v>239</v>
      </c>
      <c r="O64" t="s">
        <v>301</v>
      </c>
    </row>
    <row r="65" spans="1:15" x14ac:dyDescent="0.35">
      <c r="A65">
        <v>64</v>
      </c>
      <c r="B65" t="s">
        <v>280</v>
      </c>
      <c r="C65" t="s">
        <v>281</v>
      </c>
      <c r="D65" t="s">
        <v>237</v>
      </c>
      <c r="E65" t="s">
        <v>282</v>
      </c>
      <c r="F65" t="s">
        <v>302</v>
      </c>
      <c r="J65" s="147">
        <v>60000</v>
      </c>
      <c r="L65" s="148">
        <v>36</v>
      </c>
      <c r="M65" s="147">
        <v>1666.67</v>
      </c>
      <c r="N65" t="s">
        <v>239</v>
      </c>
    </row>
    <row r="66" spans="1:15" x14ac:dyDescent="0.35">
      <c r="A66">
        <v>65</v>
      </c>
      <c r="B66" t="s">
        <v>280</v>
      </c>
      <c r="C66" t="s">
        <v>281</v>
      </c>
      <c r="D66" t="s">
        <v>237</v>
      </c>
      <c r="E66" t="s">
        <v>282</v>
      </c>
      <c r="F66" t="s">
        <v>263</v>
      </c>
      <c r="L66" s="148">
        <v>12</v>
      </c>
      <c r="M66" s="147">
        <v>0</v>
      </c>
      <c r="N66" t="s">
        <v>239</v>
      </c>
      <c r="O66" t="s">
        <v>264</v>
      </c>
    </row>
    <row r="67" spans="1:15" x14ac:dyDescent="0.35">
      <c r="A67">
        <v>66</v>
      </c>
      <c r="B67" t="s">
        <v>280</v>
      </c>
      <c r="C67" t="s">
        <v>281</v>
      </c>
      <c r="D67" t="s">
        <v>237</v>
      </c>
      <c r="E67" t="s">
        <v>282</v>
      </c>
      <c r="F67" t="s">
        <v>267</v>
      </c>
      <c r="N67" t="s">
        <v>239</v>
      </c>
      <c r="O67" t="s">
        <v>303</v>
      </c>
    </row>
    <row r="68" spans="1:15" x14ac:dyDescent="0.35">
      <c r="A68">
        <v>67</v>
      </c>
      <c r="B68" t="s">
        <v>280</v>
      </c>
      <c r="C68" t="s">
        <v>281</v>
      </c>
      <c r="D68" t="s">
        <v>237</v>
      </c>
      <c r="E68" t="s">
        <v>282</v>
      </c>
      <c r="F68" t="s">
        <v>265</v>
      </c>
      <c r="N68" t="s">
        <v>239</v>
      </c>
      <c r="O68" t="s">
        <v>304</v>
      </c>
    </row>
    <row r="69" spans="1:15" x14ac:dyDescent="0.35">
      <c r="A69">
        <v>68</v>
      </c>
      <c r="B69" t="s">
        <v>280</v>
      </c>
      <c r="C69" t="s">
        <v>281</v>
      </c>
      <c r="D69" t="s">
        <v>237</v>
      </c>
      <c r="E69" t="s">
        <v>282</v>
      </c>
      <c r="F69" t="s">
        <v>305</v>
      </c>
      <c r="K69" s="147">
        <v>49737699</v>
      </c>
      <c r="M69" s="147">
        <v>1641332.86</v>
      </c>
      <c r="N69" t="s">
        <v>157</v>
      </c>
      <c r="O69" t="s">
        <v>306</v>
      </c>
    </row>
    <row r="70" spans="1:15" x14ac:dyDescent="0.35">
      <c r="A70">
        <v>69</v>
      </c>
      <c r="B70" t="s">
        <v>280</v>
      </c>
      <c r="C70" t="s">
        <v>4</v>
      </c>
      <c r="N70" t="s">
        <v>269</v>
      </c>
      <c r="O70" t="s">
        <v>307</v>
      </c>
    </row>
    <row r="71" spans="1:15" x14ac:dyDescent="0.35">
      <c r="A71">
        <v>70</v>
      </c>
      <c r="B71" t="s">
        <v>280</v>
      </c>
      <c r="C71" t="s">
        <v>4</v>
      </c>
      <c r="N71" t="s">
        <v>269</v>
      </c>
      <c r="O71" t="s">
        <v>308</v>
      </c>
    </row>
    <row r="72" spans="1:15" x14ac:dyDescent="0.35">
      <c r="A72">
        <v>71</v>
      </c>
      <c r="B72" t="s">
        <v>280</v>
      </c>
      <c r="C72" t="s">
        <v>4</v>
      </c>
      <c r="N72" t="s">
        <v>269</v>
      </c>
      <c r="O72" t="s">
        <v>309</v>
      </c>
    </row>
    <row r="73" spans="1:15" x14ac:dyDescent="0.35">
      <c r="A73">
        <v>72</v>
      </c>
      <c r="B73" t="s">
        <v>280</v>
      </c>
      <c r="C73" t="s">
        <v>4</v>
      </c>
      <c r="N73" t="s">
        <v>269</v>
      </c>
      <c r="O73" t="s">
        <v>310</v>
      </c>
    </row>
    <row r="74" spans="1:15" x14ac:dyDescent="0.35">
      <c r="A74">
        <v>73</v>
      </c>
      <c r="B74" t="s">
        <v>76</v>
      </c>
      <c r="C74" t="s">
        <v>311</v>
      </c>
      <c r="D74" t="s">
        <v>312</v>
      </c>
      <c r="E74" t="s">
        <v>313</v>
      </c>
      <c r="F74" t="s">
        <v>314</v>
      </c>
      <c r="J74" s="147">
        <v>40150</v>
      </c>
      <c r="K74" s="147">
        <v>40150</v>
      </c>
      <c r="L74" s="148">
        <v>60</v>
      </c>
      <c r="M74" s="147">
        <v>669.17</v>
      </c>
      <c r="N74" t="s">
        <v>239</v>
      </c>
      <c r="O74" t="s">
        <v>315</v>
      </c>
    </row>
    <row r="75" spans="1:15" x14ac:dyDescent="0.35">
      <c r="A75">
        <v>74</v>
      </c>
      <c r="B75" t="s">
        <v>76</v>
      </c>
      <c r="C75" t="s">
        <v>311</v>
      </c>
      <c r="D75" t="s">
        <v>312</v>
      </c>
      <c r="E75" t="s">
        <v>313</v>
      </c>
      <c r="F75" t="s">
        <v>316</v>
      </c>
      <c r="J75" s="147">
        <v>43150</v>
      </c>
      <c r="K75" s="147">
        <v>43150</v>
      </c>
      <c r="L75" s="148">
        <v>60</v>
      </c>
      <c r="M75" s="147">
        <v>719.17</v>
      </c>
      <c r="N75" t="s">
        <v>239</v>
      </c>
      <c r="O75" t="s">
        <v>317</v>
      </c>
    </row>
    <row r="76" spans="1:15" x14ac:dyDescent="0.35">
      <c r="A76">
        <v>75</v>
      </c>
      <c r="B76" t="s">
        <v>76</v>
      </c>
      <c r="C76" t="s">
        <v>311</v>
      </c>
      <c r="D76" t="s">
        <v>312</v>
      </c>
      <c r="E76" t="s">
        <v>313</v>
      </c>
      <c r="F76" t="s">
        <v>318</v>
      </c>
      <c r="J76" s="147">
        <v>1400</v>
      </c>
      <c r="L76" s="148">
        <v>1</v>
      </c>
      <c r="M76" s="147">
        <v>1400</v>
      </c>
      <c r="N76" t="s">
        <v>239</v>
      </c>
      <c r="O76" t="s">
        <v>319</v>
      </c>
    </row>
    <row r="77" spans="1:15" x14ac:dyDescent="0.35">
      <c r="A77">
        <v>76</v>
      </c>
      <c r="B77" t="s">
        <v>76</v>
      </c>
      <c r="C77" t="s">
        <v>311</v>
      </c>
      <c r="D77" t="s">
        <v>312</v>
      </c>
      <c r="E77" t="s">
        <v>313</v>
      </c>
      <c r="F77" t="s">
        <v>320</v>
      </c>
      <c r="J77" s="147">
        <v>1400</v>
      </c>
      <c r="L77" s="148">
        <v>1</v>
      </c>
      <c r="M77" s="147">
        <v>1400</v>
      </c>
      <c r="N77" t="s">
        <v>239</v>
      </c>
      <c r="O77" t="s">
        <v>319</v>
      </c>
    </row>
    <row r="78" spans="1:15" x14ac:dyDescent="0.35">
      <c r="A78">
        <v>77</v>
      </c>
      <c r="B78" t="s">
        <v>76</v>
      </c>
      <c r="C78" t="s">
        <v>311</v>
      </c>
      <c r="D78" t="s">
        <v>312</v>
      </c>
      <c r="E78" t="s">
        <v>313</v>
      </c>
      <c r="F78" t="s">
        <v>87</v>
      </c>
      <c r="J78" s="147">
        <v>430000</v>
      </c>
      <c r="K78" s="147">
        <v>430000</v>
      </c>
      <c r="L78" s="148">
        <v>24</v>
      </c>
      <c r="M78" s="147">
        <v>17916.669999999998</v>
      </c>
      <c r="N78" t="s">
        <v>239</v>
      </c>
    </row>
    <row r="79" spans="1:15" x14ac:dyDescent="0.35">
      <c r="A79">
        <v>78</v>
      </c>
      <c r="B79" t="s">
        <v>76</v>
      </c>
      <c r="C79" t="s">
        <v>311</v>
      </c>
      <c r="D79" t="s">
        <v>312</v>
      </c>
      <c r="E79" t="s">
        <v>313</v>
      </c>
      <c r="F79" t="s">
        <v>88</v>
      </c>
      <c r="J79" s="147">
        <v>187865</v>
      </c>
      <c r="K79" s="147">
        <v>187865</v>
      </c>
      <c r="L79" s="148">
        <v>1</v>
      </c>
      <c r="M79" s="147">
        <v>187865</v>
      </c>
      <c r="N79" t="s">
        <v>239</v>
      </c>
      <c r="O79" t="s">
        <v>321</v>
      </c>
    </row>
    <row r="80" spans="1:15" x14ac:dyDescent="0.35">
      <c r="A80">
        <v>79</v>
      </c>
      <c r="B80" t="s">
        <v>76</v>
      </c>
      <c r="C80" t="s">
        <v>311</v>
      </c>
      <c r="D80" t="s">
        <v>312</v>
      </c>
      <c r="E80" t="s">
        <v>313</v>
      </c>
      <c r="F80" t="s">
        <v>322</v>
      </c>
      <c r="J80" s="147">
        <v>76250</v>
      </c>
      <c r="L80" s="148">
        <v>12</v>
      </c>
      <c r="M80" s="147">
        <v>6354.17</v>
      </c>
      <c r="N80" t="s">
        <v>239</v>
      </c>
      <c r="O80" t="s">
        <v>323</v>
      </c>
    </row>
    <row r="81" spans="1:15" x14ac:dyDescent="0.35">
      <c r="A81">
        <v>80</v>
      </c>
      <c r="B81" t="s">
        <v>76</v>
      </c>
      <c r="C81" t="s">
        <v>311</v>
      </c>
      <c r="D81" t="s">
        <v>312</v>
      </c>
      <c r="E81" t="s">
        <v>313</v>
      </c>
      <c r="F81" t="s">
        <v>91</v>
      </c>
      <c r="J81" s="147">
        <v>182070</v>
      </c>
      <c r="L81" s="148">
        <v>3</v>
      </c>
      <c r="M81" s="147">
        <v>60690</v>
      </c>
      <c r="N81" t="s">
        <v>239</v>
      </c>
      <c r="O81" t="s">
        <v>92</v>
      </c>
    </row>
    <row r="82" spans="1:15" x14ac:dyDescent="0.35">
      <c r="A82">
        <v>81</v>
      </c>
      <c r="B82" t="s">
        <v>76</v>
      </c>
      <c r="C82" t="s">
        <v>311</v>
      </c>
      <c r="D82" t="s">
        <v>312</v>
      </c>
      <c r="E82" t="s">
        <v>313</v>
      </c>
      <c r="F82" t="s">
        <v>93</v>
      </c>
      <c r="J82" s="147">
        <v>349000</v>
      </c>
      <c r="L82" s="148">
        <v>12</v>
      </c>
      <c r="M82" s="147">
        <v>29083.33</v>
      </c>
      <c r="N82" t="s">
        <v>239</v>
      </c>
      <c r="O82" t="s">
        <v>324</v>
      </c>
    </row>
    <row r="83" spans="1:15" x14ac:dyDescent="0.35">
      <c r="A83">
        <v>82</v>
      </c>
      <c r="B83" t="s">
        <v>76</v>
      </c>
      <c r="C83" t="s">
        <v>311</v>
      </c>
      <c r="D83" t="s">
        <v>312</v>
      </c>
      <c r="E83" t="s">
        <v>313</v>
      </c>
      <c r="F83" t="s">
        <v>95</v>
      </c>
      <c r="J83" s="147">
        <v>165000</v>
      </c>
      <c r="L83" s="148">
        <v>8</v>
      </c>
      <c r="M83" s="147">
        <v>20625</v>
      </c>
      <c r="N83" t="s">
        <v>239</v>
      </c>
      <c r="O83" t="s">
        <v>325</v>
      </c>
    </row>
    <row r="84" spans="1:15" x14ac:dyDescent="0.35">
      <c r="A84">
        <v>83</v>
      </c>
      <c r="B84" t="s">
        <v>76</v>
      </c>
      <c r="C84" t="s">
        <v>311</v>
      </c>
      <c r="D84" t="s">
        <v>312</v>
      </c>
      <c r="E84" t="s">
        <v>313</v>
      </c>
      <c r="F84" t="s">
        <v>326</v>
      </c>
      <c r="J84" s="147">
        <v>86250</v>
      </c>
      <c r="L84" s="148">
        <v>12</v>
      </c>
      <c r="M84" s="147">
        <v>7187.5</v>
      </c>
      <c r="N84" t="s">
        <v>239</v>
      </c>
    </row>
    <row r="85" spans="1:15" x14ac:dyDescent="0.35">
      <c r="A85">
        <v>84</v>
      </c>
      <c r="B85" t="s">
        <v>76</v>
      </c>
      <c r="C85" t="s">
        <v>311</v>
      </c>
      <c r="D85" t="s">
        <v>312</v>
      </c>
      <c r="E85" t="s">
        <v>313</v>
      </c>
      <c r="F85" t="s">
        <v>327</v>
      </c>
      <c r="J85" s="147">
        <v>200000</v>
      </c>
      <c r="L85" s="148">
        <v>24</v>
      </c>
      <c r="M85" s="147">
        <v>8333.33</v>
      </c>
      <c r="N85" t="s">
        <v>239</v>
      </c>
    </row>
    <row r="86" spans="1:15" x14ac:dyDescent="0.35">
      <c r="A86">
        <v>85</v>
      </c>
      <c r="B86" t="s">
        <v>76</v>
      </c>
      <c r="C86" t="s">
        <v>311</v>
      </c>
      <c r="D86" t="s">
        <v>312</v>
      </c>
      <c r="E86" t="s">
        <v>313</v>
      </c>
      <c r="F86" t="s">
        <v>99</v>
      </c>
      <c r="J86" s="147">
        <v>731000</v>
      </c>
      <c r="L86" s="148">
        <v>36</v>
      </c>
      <c r="M86" s="147">
        <v>20305.560000000001</v>
      </c>
      <c r="N86" t="s">
        <v>239</v>
      </c>
    </row>
    <row r="87" spans="1:15" x14ac:dyDescent="0.35">
      <c r="A87">
        <v>86</v>
      </c>
      <c r="B87" t="s">
        <v>76</v>
      </c>
      <c r="C87" t="s">
        <v>311</v>
      </c>
      <c r="D87" t="s">
        <v>312</v>
      </c>
      <c r="E87" t="s">
        <v>313</v>
      </c>
      <c r="F87" t="s">
        <v>328</v>
      </c>
      <c r="J87" s="147">
        <v>65000</v>
      </c>
      <c r="L87" s="148">
        <v>12</v>
      </c>
      <c r="M87" s="147">
        <v>5416.67</v>
      </c>
      <c r="N87" t="s">
        <v>239</v>
      </c>
    </row>
    <row r="88" spans="1:15" x14ac:dyDescent="0.35">
      <c r="A88">
        <v>87</v>
      </c>
      <c r="B88" t="s">
        <v>76</v>
      </c>
      <c r="C88" t="s">
        <v>311</v>
      </c>
      <c r="D88" t="s">
        <v>312</v>
      </c>
      <c r="E88" t="s">
        <v>313</v>
      </c>
      <c r="F88" t="s">
        <v>101</v>
      </c>
      <c r="J88" s="147">
        <v>240000</v>
      </c>
      <c r="L88" s="148">
        <v>12</v>
      </c>
      <c r="M88" s="147">
        <v>20000</v>
      </c>
      <c r="N88" t="s">
        <v>239</v>
      </c>
      <c r="O88" t="s">
        <v>329</v>
      </c>
    </row>
    <row r="89" spans="1:15" x14ac:dyDescent="0.35">
      <c r="A89">
        <v>88</v>
      </c>
      <c r="B89" t="s">
        <v>76</v>
      </c>
      <c r="C89" t="s">
        <v>311</v>
      </c>
      <c r="D89" t="s">
        <v>312</v>
      </c>
      <c r="E89" t="s">
        <v>313</v>
      </c>
      <c r="F89" t="s">
        <v>330</v>
      </c>
      <c r="J89" s="147">
        <v>65702.460000000006</v>
      </c>
      <c r="L89" s="148">
        <v>12</v>
      </c>
      <c r="M89" s="147">
        <v>5475.21</v>
      </c>
      <c r="N89" t="s">
        <v>239</v>
      </c>
    </row>
    <row r="90" spans="1:15" x14ac:dyDescent="0.35">
      <c r="A90">
        <v>89</v>
      </c>
      <c r="B90" t="s">
        <v>76</v>
      </c>
      <c r="C90" t="s">
        <v>311</v>
      </c>
      <c r="D90" t="s">
        <v>312</v>
      </c>
      <c r="E90" t="s">
        <v>313</v>
      </c>
      <c r="F90" t="s">
        <v>265</v>
      </c>
      <c r="N90" t="s">
        <v>239</v>
      </c>
      <c r="O90" t="s">
        <v>266</v>
      </c>
    </row>
    <row r="91" spans="1:15" x14ac:dyDescent="0.35">
      <c r="A91">
        <v>90</v>
      </c>
      <c r="B91" t="s">
        <v>76</v>
      </c>
      <c r="C91" t="s">
        <v>331</v>
      </c>
      <c r="D91" t="s">
        <v>312</v>
      </c>
      <c r="E91" t="s">
        <v>332</v>
      </c>
      <c r="F91" t="s">
        <v>333</v>
      </c>
      <c r="H91">
        <v>2</v>
      </c>
      <c r="J91" s="147">
        <v>1000000</v>
      </c>
      <c r="L91" s="148">
        <v>24</v>
      </c>
      <c r="M91" s="147">
        <v>41666.67</v>
      </c>
      <c r="N91" t="s">
        <v>239</v>
      </c>
    </row>
    <row r="92" spans="1:15" x14ac:dyDescent="0.35">
      <c r="A92">
        <v>91</v>
      </c>
      <c r="B92" t="s">
        <v>76</v>
      </c>
      <c r="C92" t="s">
        <v>331</v>
      </c>
      <c r="D92" t="s">
        <v>312</v>
      </c>
      <c r="E92" t="s">
        <v>332</v>
      </c>
      <c r="F92" t="s">
        <v>334</v>
      </c>
      <c r="H92">
        <v>2</v>
      </c>
      <c r="J92" s="147">
        <v>370000</v>
      </c>
      <c r="L92" s="148">
        <v>12</v>
      </c>
      <c r="M92" s="147">
        <v>30833.33</v>
      </c>
      <c r="N92" t="s">
        <v>239</v>
      </c>
    </row>
    <row r="93" spans="1:15" x14ac:dyDescent="0.35">
      <c r="A93">
        <v>92</v>
      </c>
      <c r="B93" t="s">
        <v>76</v>
      </c>
      <c r="C93" t="s">
        <v>331</v>
      </c>
      <c r="D93" t="s">
        <v>312</v>
      </c>
      <c r="E93" t="s">
        <v>332</v>
      </c>
      <c r="F93" t="s">
        <v>335</v>
      </c>
      <c r="H93">
        <v>2</v>
      </c>
      <c r="J93" s="147">
        <v>1100000</v>
      </c>
      <c r="L93" s="148">
        <v>12</v>
      </c>
      <c r="M93" s="147">
        <v>91666.67</v>
      </c>
      <c r="N93" t="s">
        <v>239</v>
      </c>
    </row>
    <row r="94" spans="1:15" x14ac:dyDescent="0.35">
      <c r="A94">
        <v>93</v>
      </c>
      <c r="B94" t="s">
        <v>76</v>
      </c>
      <c r="C94" t="s">
        <v>331</v>
      </c>
      <c r="D94" t="s">
        <v>312</v>
      </c>
      <c r="E94" t="s">
        <v>332</v>
      </c>
      <c r="F94" t="s">
        <v>336</v>
      </c>
      <c r="H94">
        <v>1</v>
      </c>
      <c r="J94" s="147">
        <v>1200</v>
      </c>
      <c r="L94" s="148">
        <v>24</v>
      </c>
      <c r="M94" s="147">
        <v>50</v>
      </c>
      <c r="N94" t="s">
        <v>239</v>
      </c>
    </row>
    <row r="95" spans="1:15" x14ac:dyDescent="0.35">
      <c r="A95">
        <v>94</v>
      </c>
      <c r="B95" t="s">
        <v>76</v>
      </c>
      <c r="C95" t="s">
        <v>331</v>
      </c>
      <c r="D95" t="s">
        <v>312</v>
      </c>
      <c r="E95" t="s">
        <v>332</v>
      </c>
      <c r="F95" t="s">
        <v>337</v>
      </c>
      <c r="H95">
        <v>4</v>
      </c>
      <c r="J95" s="147">
        <v>300000</v>
      </c>
      <c r="L95" s="148">
        <v>6</v>
      </c>
      <c r="M95" s="147">
        <v>50000</v>
      </c>
      <c r="N95" t="s">
        <v>239</v>
      </c>
    </row>
    <row r="96" spans="1:15" x14ac:dyDescent="0.35">
      <c r="A96">
        <v>95</v>
      </c>
      <c r="B96" t="s">
        <v>76</v>
      </c>
      <c r="C96" t="s">
        <v>331</v>
      </c>
      <c r="D96" t="s">
        <v>312</v>
      </c>
      <c r="E96" t="s">
        <v>332</v>
      </c>
      <c r="F96" t="s">
        <v>338</v>
      </c>
      <c r="H96">
        <v>2</v>
      </c>
      <c r="J96" s="147">
        <v>859392</v>
      </c>
      <c r="L96" s="148">
        <v>12</v>
      </c>
      <c r="M96" s="147">
        <v>71616</v>
      </c>
      <c r="N96" t="s">
        <v>239</v>
      </c>
    </row>
    <row r="97" spans="1:14" x14ac:dyDescent="0.35">
      <c r="A97">
        <v>96</v>
      </c>
      <c r="B97" t="s">
        <v>76</v>
      </c>
      <c r="C97" t="s">
        <v>331</v>
      </c>
      <c r="D97" t="s">
        <v>312</v>
      </c>
      <c r="E97" t="s">
        <v>332</v>
      </c>
      <c r="F97" t="s">
        <v>339</v>
      </c>
      <c r="H97">
        <v>2</v>
      </c>
      <c r="J97" s="147">
        <v>70000</v>
      </c>
      <c r="L97" s="148">
        <v>12</v>
      </c>
      <c r="M97" s="147">
        <v>5833.33</v>
      </c>
      <c r="N97" t="s">
        <v>239</v>
      </c>
    </row>
    <row r="98" spans="1:14" x14ac:dyDescent="0.35">
      <c r="A98">
        <v>97</v>
      </c>
      <c r="B98" t="s">
        <v>76</v>
      </c>
      <c r="C98" t="s">
        <v>331</v>
      </c>
      <c r="D98" t="s">
        <v>312</v>
      </c>
      <c r="E98" t="s">
        <v>332</v>
      </c>
      <c r="F98" t="s">
        <v>340</v>
      </c>
      <c r="H98">
        <v>2</v>
      </c>
      <c r="J98" s="147">
        <v>225000</v>
      </c>
      <c r="L98" s="148">
        <v>24</v>
      </c>
      <c r="M98" s="147">
        <v>9375</v>
      </c>
      <c r="N98" t="s">
        <v>239</v>
      </c>
    </row>
    <row r="99" spans="1:14" x14ac:dyDescent="0.35">
      <c r="A99">
        <v>98</v>
      </c>
      <c r="B99" t="s">
        <v>76</v>
      </c>
      <c r="C99" t="s">
        <v>331</v>
      </c>
      <c r="D99" t="s">
        <v>312</v>
      </c>
      <c r="E99" t="s">
        <v>332</v>
      </c>
      <c r="F99" t="s">
        <v>341</v>
      </c>
      <c r="H99">
        <v>2</v>
      </c>
      <c r="J99" s="147">
        <v>230000</v>
      </c>
      <c r="L99" s="148">
        <v>12</v>
      </c>
      <c r="M99" s="147">
        <v>19166.669999999998</v>
      </c>
      <c r="N99" t="s">
        <v>239</v>
      </c>
    </row>
    <row r="100" spans="1:14" x14ac:dyDescent="0.35">
      <c r="A100">
        <v>99</v>
      </c>
      <c r="B100" t="s">
        <v>76</v>
      </c>
      <c r="C100" t="s">
        <v>331</v>
      </c>
      <c r="D100" t="s">
        <v>312</v>
      </c>
      <c r="E100" t="s">
        <v>332</v>
      </c>
      <c r="F100" t="s">
        <v>342</v>
      </c>
      <c r="H100">
        <v>5</v>
      </c>
      <c r="J100" s="147">
        <v>3200</v>
      </c>
      <c r="L100" s="148">
        <v>12</v>
      </c>
      <c r="M100" s="147">
        <v>266.67</v>
      </c>
      <c r="N100" t="s">
        <v>239</v>
      </c>
    </row>
    <row r="101" spans="1:14" x14ac:dyDescent="0.35">
      <c r="A101">
        <v>100</v>
      </c>
      <c r="B101" t="s">
        <v>76</v>
      </c>
      <c r="C101" t="s">
        <v>331</v>
      </c>
      <c r="D101" t="s">
        <v>312</v>
      </c>
      <c r="E101" t="s">
        <v>332</v>
      </c>
      <c r="F101" t="s">
        <v>343</v>
      </c>
      <c r="H101">
        <v>2</v>
      </c>
      <c r="J101" s="147">
        <v>3000</v>
      </c>
      <c r="L101" s="148">
        <v>12</v>
      </c>
      <c r="M101" s="147">
        <v>250</v>
      </c>
      <c r="N101" t="s">
        <v>239</v>
      </c>
    </row>
    <row r="102" spans="1:14" x14ac:dyDescent="0.35">
      <c r="A102">
        <v>101</v>
      </c>
      <c r="B102" t="s">
        <v>76</v>
      </c>
      <c r="C102" t="s">
        <v>331</v>
      </c>
      <c r="D102" t="s">
        <v>312</v>
      </c>
      <c r="E102" t="s">
        <v>332</v>
      </c>
      <c r="F102" t="s">
        <v>344</v>
      </c>
      <c r="H102">
        <v>2</v>
      </c>
      <c r="J102" s="147">
        <v>253</v>
      </c>
      <c r="L102" s="148">
        <v>12</v>
      </c>
      <c r="M102" s="147">
        <v>21.08</v>
      </c>
      <c r="N102" t="s">
        <v>239</v>
      </c>
    </row>
    <row r="103" spans="1:14" x14ac:dyDescent="0.35">
      <c r="A103">
        <v>102</v>
      </c>
      <c r="B103" t="s">
        <v>76</v>
      </c>
      <c r="C103" t="s">
        <v>331</v>
      </c>
      <c r="D103" t="s">
        <v>312</v>
      </c>
      <c r="E103" t="s">
        <v>332</v>
      </c>
      <c r="F103" t="s">
        <v>345</v>
      </c>
      <c r="H103">
        <v>1</v>
      </c>
      <c r="J103" s="147">
        <v>833</v>
      </c>
      <c r="L103" s="148">
        <v>36</v>
      </c>
      <c r="M103" s="147">
        <v>23.14</v>
      </c>
      <c r="N103" t="s">
        <v>239</v>
      </c>
    </row>
    <row r="104" spans="1:14" x14ac:dyDescent="0.35">
      <c r="A104">
        <v>103</v>
      </c>
      <c r="B104" t="s">
        <v>76</v>
      </c>
      <c r="C104" t="s">
        <v>331</v>
      </c>
      <c r="D104" t="s">
        <v>312</v>
      </c>
      <c r="E104" t="s">
        <v>332</v>
      </c>
      <c r="F104" t="s">
        <v>346</v>
      </c>
      <c r="H104">
        <v>1</v>
      </c>
      <c r="J104" s="147">
        <v>680</v>
      </c>
      <c r="L104" s="148">
        <v>12</v>
      </c>
      <c r="M104" s="147">
        <v>56.67</v>
      </c>
      <c r="N104" t="s">
        <v>239</v>
      </c>
    </row>
    <row r="105" spans="1:14" x14ac:dyDescent="0.35">
      <c r="A105">
        <v>104</v>
      </c>
      <c r="B105" t="s">
        <v>76</v>
      </c>
      <c r="C105" t="s">
        <v>331</v>
      </c>
      <c r="D105" t="s">
        <v>312</v>
      </c>
      <c r="E105" t="s">
        <v>332</v>
      </c>
      <c r="F105" t="s">
        <v>347</v>
      </c>
      <c r="H105">
        <v>3</v>
      </c>
      <c r="J105" s="147">
        <v>126765</v>
      </c>
      <c r="L105" s="148">
        <v>1</v>
      </c>
      <c r="M105" s="147">
        <v>126765</v>
      </c>
      <c r="N105" t="s">
        <v>239</v>
      </c>
    </row>
    <row r="106" spans="1:14" x14ac:dyDescent="0.35">
      <c r="A106">
        <v>105</v>
      </c>
      <c r="B106" t="s">
        <v>76</v>
      </c>
      <c r="C106" t="s">
        <v>331</v>
      </c>
      <c r="D106" t="s">
        <v>312</v>
      </c>
      <c r="E106" t="s">
        <v>332</v>
      </c>
      <c r="F106" t="s">
        <v>348</v>
      </c>
      <c r="H106">
        <v>1</v>
      </c>
      <c r="J106" s="147">
        <v>85511</v>
      </c>
      <c r="L106" s="148">
        <v>24</v>
      </c>
      <c r="M106" s="147">
        <v>3562.96</v>
      </c>
      <c r="N106" t="s">
        <v>239</v>
      </c>
    </row>
    <row r="107" spans="1:14" x14ac:dyDescent="0.35">
      <c r="A107">
        <v>106</v>
      </c>
      <c r="B107" t="s">
        <v>76</v>
      </c>
      <c r="C107" t="s">
        <v>331</v>
      </c>
      <c r="D107" t="s">
        <v>312</v>
      </c>
      <c r="E107" t="s">
        <v>332</v>
      </c>
      <c r="F107" t="s">
        <v>349</v>
      </c>
      <c r="H107">
        <v>2</v>
      </c>
      <c r="J107" s="147">
        <v>9433</v>
      </c>
      <c r="L107" s="148">
        <v>24</v>
      </c>
      <c r="M107" s="147">
        <v>393.04</v>
      </c>
      <c r="N107" t="s">
        <v>239</v>
      </c>
    </row>
    <row r="108" spans="1:14" x14ac:dyDescent="0.35">
      <c r="A108">
        <v>107</v>
      </c>
      <c r="B108" t="s">
        <v>76</v>
      </c>
      <c r="C108" t="s">
        <v>331</v>
      </c>
      <c r="D108" t="s">
        <v>312</v>
      </c>
      <c r="E108" t="s">
        <v>332</v>
      </c>
      <c r="F108" t="s">
        <v>350</v>
      </c>
      <c r="H108">
        <v>2</v>
      </c>
      <c r="J108" s="147">
        <v>1000000</v>
      </c>
      <c r="L108" s="148">
        <v>24</v>
      </c>
      <c r="M108" s="147">
        <v>41666.67</v>
      </c>
      <c r="N108" t="s">
        <v>239</v>
      </c>
    </row>
    <row r="109" spans="1:14" x14ac:dyDescent="0.35">
      <c r="A109">
        <v>108</v>
      </c>
      <c r="B109" t="s">
        <v>76</v>
      </c>
      <c r="C109" t="s">
        <v>331</v>
      </c>
      <c r="D109" t="s">
        <v>312</v>
      </c>
      <c r="E109" t="s">
        <v>332</v>
      </c>
      <c r="F109" t="s">
        <v>351</v>
      </c>
      <c r="H109">
        <v>1</v>
      </c>
      <c r="J109" s="147">
        <v>8000</v>
      </c>
      <c r="L109" s="148">
        <v>24</v>
      </c>
      <c r="M109" s="147">
        <v>333.33</v>
      </c>
      <c r="N109" t="s">
        <v>239</v>
      </c>
    </row>
    <row r="110" spans="1:14" x14ac:dyDescent="0.35">
      <c r="A110">
        <v>109</v>
      </c>
      <c r="B110" t="s">
        <v>76</v>
      </c>
      <c r="C110" t="s">
        <v>331</v>
      </c>
      <c r="D110" t="s">
        <v>312</v>
      </c>
      <c r="E110" t="s">
        <v>332</v>
      </c>
      <c r="F110" t="s">
        <v>352</v>
      </c>
      <c r="H110">
        <v>1</v>
      </c>
      <c r="J110" s="147">
        <v>5000</v>
      </c>
      <c r="L110" s="148">
        <v>12</v>
      </c>
      <c r="M110" s="147">
        <v>416.67</v>
      </c>
      <c r="N110" t="s">
        <v>239</v>
      </c>
    </row>
    <row r="111" spans="1:14" x14ac:dyDescent="0.35">
      <c r="A111">
        <v>110</v>
      </c>
      <c r="B111" t="s">
        <v>76</v>
      </c>
      <c r="C111" t="s">
        <v>331</v>
      </c>
      <c r="D111" t="s">
        <v>312</v>
      </c>
      <c r="E111" t="s">
        <v>332</v>
      </c>
      <c r="F111" t="s">
        <v>353</v>
      </c>
      <c r="H111">
        <v>1</v>
      </c>
      <c r="J111" s="147">
        <v>243000</v>
      </c>
      <c r="L111" s="148">
        <v>24</v>
      </c>
      <c r="M111" s="147">
        <v>10125</v>
      </c>
      <c r="N111" t="s">
        <v>239</v>
      </c>
    </row>
    <row r="112" spans="1:14" x14ac:dyDescent="0.35">
      <c r="A112">
        <v>111</v>
      </c>
      <c r="B112" t="s">
        <v>76</v>
      </c>
      <c r="C112" t="s">
        <v>331</v>
      </c>
      <c r="D112" t="s">
        <v>312</v>
      </c>
      <c r="E112" t="s">
        <v>332</v>
      </c>
      <c r="F112" t="s">
        <v>354</v>
      </c>
      <c r="H112">
        <v>2</v>
      </c>
      <c r="J112" s="147">
        <v>6000</v>
      </c>
      <c r="L112" s="148">
        <v>24</v>
      </c>
      <c r="M112" s="147">
        <v>250</v>
      </c>
      <c r="N112" t="s">
        <v>239</v>
      </c>
    </row>
    <row r="113" spans="1:15" x14ac:dyDescent="0.35">
      <c r="A113">
        <v>112</v>
      </c>
      <c r="B113" t="s">
        <v>76</v>
      </c>
      <c r="C113" t="s">
        <v>331</v>
      </c>
      <c r="D113" t="s">
        <v>312</v>
      </c>
      <c r="E113" t="s">
        <v>332</v>
      </c>
      <c r="F113" t="s">
        <v>355</v>
      </c>
      <c r="H113">
        <v>2</v>
      </c>
      <c r="J113" s="147">
        <v>55000</v>
      </c>
      <c r="L113" s="148">
        <v>24</v>
      </c>
      <c r="M113" s="147">
        <v>2291.67</v>
      </c>
      <c r="N113" t="s">
        <v>239</v>
      </c>
    </row>
    <row r="114" spans="1:15" x14ac:dyDescent="0.35">
      <c r="A114">
        <v>113</v>
      </c>
      <c r="B114" t="s">
        <v>76</v>
      </c>
      <c r="C114" t="s">
        <v>331</v>
      </c>
      <c r="D114" t="s">
        <v>312</v>
      </c>
      <c r="E114" t="s">
        <v>332</v>
      </c>
      <c r="F114" t="s">
        <v>356</v>
      </c>
      <c r="H114">
        <v>2</v>
      </c>
      <c r="J114" s="147">
        <v>50000</v>
      </c>
      <c r="L114" s="148">
        <v>12</v>
      </c>
      <c r="M114" s="147">
        <v>4166.67</v>
      </c>
      <c r="N114" t="s">
        <v>239</v>
      </c>
    </row>
    <row r="115" spans="1:15" x14ac:dyDescent="0.35">
      <c r="A115">
        <v>114</v>
      </c>
      <c r="B115" t="s">
        <v>76</v>
      </c>
      <c r="C115" t="s">
        <v>331</v>
      </c>
      <c r="D115" t="s">
        <v>312</v>
      </c>
      <c r="E115" t="s">
        <v>332</v>
      </c>
      <c r="F115" t="s">
        <v>357</v>
      </c>
      <c r="H115">
        <v>2</v>
      </c>
      <c r="J115" s="147">
        <v>13268</v>
      </c>
      <c r="L115" s="148">
        <v>12</v>
      </c>
      <c r="M115" s="147">
        <v>1105.67</v>
      </c>
      <c r="N115" t="s">
        <v>239</v>
      </c>
    </row>
    <row r="116" spans="1:15" x14ac:dyDescent="0.35">
      <c r="A116">
        <v>115</v>
      </c>
      <c r="B116" t="s">
        <v>76</v>
      </c>
      <c r="C116" t="s">
        <v>331</v>
      </c>
      <c r="D116" t="s">
        <v>312</v>
      </c>
      <c r="E116" t="s">
        <v>332</v>
      </c>
      <c r="F116" t="s">
        <v>358</v>
      </c>
      <c r="H116">
        <v>2</v>
      </c>
      <c r="J116" s="147">
        <v>30000</v>
      </c>
      <c r="L116" s="148">
        <v>24</v>
      </c>
      <c r="M116" s="147">
        <v>1250</v>
      </c>
      <c r="N116" t="s">
        <v>239</v>
      </c>
    </row>
    <row r="117" spans="1:15" x14ac:dyDescent="0.35">
      <c r="A117">
        <v>116</v>
      </c>
      <c r="B117" t="s">
        <v>76</v>
      </c>
      <c r="C117" t="s">
        <v>331</v>
      </c>
      <c r="D117" t="s">
        <v>312</v>
      </c>
      <c r="E117" t="s">
        <v>332</v>
      </c>
      <c r="F117" t="s">
        <v>359</v>
      </c>
      <c r="H117">
        <v>1</v>
      </c>
      <c r="J117" s="147">
        <v>65000</v>
      </c>
      <c r="L117" s="148">
        <v>12</v>
      </c>
      <c r="M117" s="147">
        <v>5416.67</v>
      </c>
      <c r="N117" t="s">
        <v>239</v>
      </c>
    </row>
    <row r="118" spans="1:15" x14ac:dyDescent="0.35">
      <c r="A118">
        <v>117</v>
      </c>
      <c r="B118" t="s">
        <v>76</v>
      </c>
      <c r="C118" t="s">
        <v>331</v>
      </c>
      <c r="D118" t="s">
        <v>312</v>
      </c>
      <c r="E118" t="s">
        <v>332</v>
      </c>
      <c r="F118" t="s">
        <v>360</v>
      </c>
      <c r="H118">
        <v>1</v>
      </c>
      <c r="J118" s="147">
        <v>1</v>
      </c>
      <c r="L118" s="148">
        <v>12</v>
      </c>
      <c r="M118" s="147">
        <v>0.08</v>
      </c>
      <c r="N118" t="s">
        <v>239</v>
      </c>
    </row>
    <row r="119" spans="1:15" x14ac:dyDescent="0.35">
      <c r="A119">
        <v>118</v>
      </c>
      <c r="B119" t="s">
        <v>76</v>
      </c>
      <c r="C119" t="s">
        <v>331</v>
      </c>
      <c r="D119" t="s">
        <v>312</v>
      </c>
      <c r="E119" t="s">
        <v>332</v>
      </c>
      <c r="F119" t="s">
        <v>361</v>
      </c>
      <c r="H119">
        <v>1</v>
      </c>
      <c r="J119" s="147">
        <v>2500</v>
      </c>
      <c r="L119" s="148">
        <v>12</v>
      </c>
      <c r="M119" s="147">
        <v>208.33</v>
      </c>
      <c r="N119" t="s">
        <v>239</v>
      </c>
    </row>
    <row r="120" spans="1:15" x14ac:dyDescent="0.35">
      <c r="A120">
        <v>119</v>
      </c>
      <c r="B120" t="s">
        <v>76</v>
      </c>
      <c r="C120" t="s">
        <v>331</v>
      </c>
      <c r="D120" t="s">
        <v>312</v>
      </c>
      <c r="E120" t="s">
        <v>332</v>
      </c>
      <c r="F120" t="s">
        <v>362</v>
      </c>
      <c r="M120" s="147">
        <v>518776.97</v>
      </c>
      <c r="N120" t="s">
        <v>157</v>
      </c>
    </row>
    <row r="121" spans="1:15" x14ac:dyDescent="0.35">
      <c r="A121">
        <v>120</v>
      </c>
      <c r="B121" t="s">
        <v>76</v>
      </c>
      <c r="C121" t="s">
        <v>363</v>
      </c>
      <c r="D121" t="s">
        <v>312</v>
      </c>
      <c r="E121" t="s">
        <v>364</v>
      </c>
      <c r="F121" t="s">
        <v>365</v>
      </c>
      <c r="M121" s="147">
        <v>1130000</v>
      </c>
      <c r="N121" t="s">
        <v>239</v>
      </c>
      <c r="O121" t="s">
        <v>366</v>
      </c>
    </row>
    <row r="122" spans="1:15" x14ac:dyDescent="0.35">
      <c r="A122">
        <v>121</v>
      </c>
      <c r="B122" t="s">
        <v>76</v>
      </c>
      <c r="C122" t="s">
        <v>363</v>
      </c>
      <c r="D122" t="s">
        <v>312</v>
      </c>
      <c r="E122" t="s">
        <v>364</v>
      </c>
      <c r="F122" t="s">
        <v>367</v>
      </c>
      <c r="M122" s="147">
        <v>300000</v>
      </c>
      <c r="N122" t="s">
        <v>239</v>
      </c>
      <c r="O122" t="s">
        <v>368</v>
      </c>
    </row>
    <row r="123" spans="1:15" x14ac:dyDescent="0.35">
      <c r="A123">
        <v>122</v>
      </c>
      <c r="B123" t="s">
        <v>76</v>
      </c>
      <c r="C123" t="s">
        <v>363</v>
      </c>
      <c r="D123" t="s">
        <v>312</v>
      </c>
      <c r="E123" t="s">
        <v>364</v>
      </c>
      <c r="F123" t="s">
        <v>369</v>
      </c>
      <c r="M123" s="147">
        <v>380000</v>
      </c>
      <c r="N123" t="s">
        <v>239</v>
      </c>
      <c r="O123" t="s">
        <v>149</v>
      </c>
    </row>
    <row r="124" spans="1:15" x14ac:dyDescent="0.35">
      <c r="A124">
        <v>123</v>
      </c>
      <c r="B124" t="s">
        <v>76</v>
      </c>
      <c r="C124" t="s">
        <v>363</v>
      </c>
      <c r="D124" t="s">
        <v>312</v>
      </c>
      <c r="E124" t="s">
        <v>364</v>
      </c>
      <c r="F124" t="s">
        <v>150</v>
      </c>
      <c r="M124" s="147">
        <v>464.14</v>
      </c>
      <c r="N124" t="s">
        <v>239</v>
      </c>
    </row>
    <row r="125" spans="1:15" x14ac:dyDescent="0.35">
      <c r="A125">
        <v>124</v>
      </c>
      <c r="B125" t="s">
        <v>76</v>
      </c>
      <c r="C125" t="s">
        <v>363</v>
      </c>
      <c r="D125" t="s">
        <v>312</v>
      </c>
      <c r="E125" t="s">
        <v>364</v>
      </c>
      <c r="F125" t="s">
        <v>151</v>
      </c>
      <c r="M125" s="147">
        <v>464.14</v>
      </c>
      <c r="N125" t="s">
        <v>239</v>
      </c>
    </row>
    <row r="126" spans="1:15" x14ac:dyDescent="0.35">
      <c r="A126">
        <v>125</v>
      </c>
      <c r="B126" t="s">
        <v>76</v>
      </c>
      <c r="C126" t="s">
        <v>363</v>
      </c>
      <c r="D126" t="s">
        <v>312</v>
      </c>
      <c r="E126" t="s">
        <v>364</v>
      </c>
      <c r="F126" t="s">
        <v>152</v>
      </c>
      <c r="M126" s="147">
        <v>464.14</v>
      </c>
      <c r="N126" t="s">
        <v>239</v>
      </c>
    </row>
    <row r="127" spans="1:15" x14ac:dyDescent="0.35">
      <c r="A127">
        <v>126</v>
      </c>
      <c r="B127" t="s">
        <v>76</v>
      </c>
      <c r="C127" t="s">
        <v>363</v>
      </c>
      <c r="D127" t="s">
        <v>312</v>
      </c>
      <c r="E127" t="s">
        <v>364</v>
      </c>
      <c r="F127" t="s">
        <v>370</v>
      </c>
      <c r="M127" s="147">
        <v>89.99</v>
      </c>
      <c r="N127" t="s">
        <v>239</v>
      </c>
    </row>
    <row r="128" spans="1:15" x14ac:dyDescent="0.35">
      <c r="A128">
        <v>127</v>
      </c>
      <c r="B128" t="s">
        <v>76</v>
      </c>
      <c r="C128" t="s">
        <v>363</v>
      </c>
      <c r="D128" t="s">
        <v>312</v>
      </c>
      <c r="E128" t="s">
        <v>364</v>
      </c>
      <c r="F128" t="s">
        <v>371</v>
      </c>
      <c r="M128" s="147">
        <v>89.99</v>
      </c>
      <c r="N128" t="s">
        <v>239</v>
      </c>
    </row>
    <row r="129" spans="1:15" x14ac:dyDescent="0.35">
      <c r="A129">
        <v>128</v>
      </c>
      <c r="B129" t="s">
        <v>76</v>
      </c>
      <c r="C129" t="s">
        <v>363</v>
      </c>
      <c r="D129" t="s">
        <v>312</v>
      </c>
      <c r="E129" t="s">
        <v>364</v>
      </c>
      <c r="F129" t="s">
        <v>155</v>
      </c>
      <c r="M129" s="147">
        <v>28.42</v>
      </c>
      <c r="N129" t="s">
        <v>239</v>
      </c>
    </row>
    <row r="130" spans="1:15" x14ac:dyDescent="0.35">
      <c r="A130">
        <v>129</v>
      </c>
      <c r="B130" t="s">
        <v>76</v>
      </c>
      <c r="C130" t="s">
        <v>363</v>
      </c>
      <c r="D130" t="s">
        <v>312</v>
      </c>
      <c r="E130" t="s">
        <v>364</v>
      </c>
      <c r="F130" t="s">
        <v>156</v>
      </c>
      <c r="M130" s="147">
        <v>6944.44</v>
      </c>
      <c r="N130" t="s">
        <v>239</v>
      </c>
    </row>
    <row r="131" spans="1:15" x14ac:dyDescent="0.35">
      <c r="A131">
        <v>130</v>
      </c>
      <c r="B131" t="s">
        <v>76</v>
      </c>
      <c r="C131" t="s">
        <v>363</v>
      </c>
      <c r="D131" t="s">
        <v>312</v>
      </c>
      <c r="E131" t="s">
        <v>364</v>
      </c>
      <c r="F131" t="s">
        <v>372</v>
      </c>
      <c r="M131" s="147">
        <v>1810000</v>
      </c>
      <c r="N131" t="s">
        <v>157</v>
      </c>
    </row>
    <row r="132" spans="1:15" x14ac:dyDescent="0.35">
      <c r="A132">
        <v>131</v>
      </c>
      <c r="B132" t="s">
        <v>76</v>
      </c>
      <c r="C132" t="s">
        <v>373</v>
      </c>
      <c r="D132" t="s">
        <v>374</v>
      </c>
      <c r="E132" t="s">
        <v>375</v>
      </c>
      <c r="F132" t="s">
        <v>163</v>
      </c>
      <c r="G132" t="s">
        <v>375</v>
      </c>
      <c r="H132">
        <v>1</v>
      </c>
      <c r="I132" s="147">
        <v>583128</v>
      </c>
      <c r="M132" s="147">
        <v>583128</v>
      </c>
      <c r="N132" t="s">
        <v>239</v>
      </c>
      <c r="O132" t="s">
        <v>376</v>
      </c>
    </row>
    <row r="133" spans="1:15" x14ac:dyDescent="0.35">
      <c r="A133">
        <v>132</v>
      </c>
      <c r="B133" t="s">
        <v>76</v>
      </c>
      <c r="C133" t="s">
        <v>373</v>
      </c>
      <c r="D133" t="s">
        <v>374</v>
      </c>
      <c r="E133" t="s">
        <v>375</v>
      </c>
      <c r="F133" t="s">
        <v>166</v>
      </c>
      <c r="G133" t="s">
        <v>375</v>
      </c>
      <c r="H133">
        <v>320</v>
      </c>
      <c r="I133" s="147">
        <v>5132.3999999999996</v>
      </c>
      <c r="M133" s="147">
        <v>1642368</v>
      </c>
      <c r="N133" t="s">
        <v>239</v>
      </c>
      <c r="O133" t="s">
        <v>376</v>
      </c>
    </row>
    <row r="134" spans="1:15" x14ac:dyDescent="0.35">
      <c r="A134">
        <v>133</v>
      </c>
      <c r="B134" t="s">
        <v>76</v>
      </c>
      <c r="C134" t="s">
        <v>373</v>
      </c>
      <c r="D134" t="s">
        <v>374</v>
      </c>
      <c r="E134" t="s">
        <v>375</v>
      </c>
      <c r="F134" t="s">
        <v>377</v>
      </c>
      <c r="G134" t="s">
        <v>375</v>
      </c>
      <c r="I134" s="147">
        <v>1911000</v>
      </c>
      <c r="M134" s="147">
        <v>0</v>
      </c>
      <c r="N134" t="s">
        <v>239</v>
      </c>
      <c r="O134" t="s">
        <v>378</v>
      </c>
    </row>
    <row r="135" spans="1:15" x14ac:dyDescent="0.35">
      <c r="A135">
        <v>134</v>
      </c>
      <c r="B135" t="s">
        <v>76</v>
      </c>
      <c r="C135" t="s">
        <v>373</v>
      </c>
      <c r="D135" t="s">
        <v>374</v>
      </c>
      <c r="E135" t="s">
        <v>375</v>
      </c>
      <c r="F135" t="s">
        <v>169</v>
      </c>
      <c r="G135" t="s">
        <v>375</v>
      </c>
      <c r="H135">
        <v>2</v>
      </c>
      <c r="I135" s="147">
        <v>132132</v>
      </c>
      <c r="M135" s="147">
        <v>264264</v>
      </c>
      <c r="N135" t="s">
        <v>239</v>
      </c>
      <c r="O135" t="s">
        <v>376</v>
      </c>
    </row>
    <row r="136" spans="1:15" x14ac:dyDescent="0.35">
      <c r="A136">
        <v>135</v>
      </c>
      <c r="B136" t="s">
        <v>76</v>
      </c>
      <c r="C136" t="s">
        <v>373</v>
      </c>
      <c r="D136" t="s">
        <v>374</v>
      </c>
      <c r="E136" t="s">
        <v>375</v>
      </c>
      <c r="F136" t="s">
        <v>379</v>
      </c>
      <c r="M136" s="147">
        <v>2489760</v>
      </c>
      <c r="N136" t="s">
        <v>157</v>
      </c>
    </row>
    <row r="137" spans="1:15" x14ac:dyDescent="0.35">
      <c r="A137">
        <v>136</v>
      </c>
      <c r="B137" t="s">
        <v>76</v>
      </c>
      <c r="C137" t="s">
        <v>380</v>
      </c>
      <c r="D137" t="s">
        <v>374</v>
      </c>
      <c r="E137" t="s">
        <v>381</v>
      </c>
      <c r="F137" t="s">
        <v>163</v>
      </c>
      <c r="G137" t="s">
        <v>381</v>
      </c>
      <c r="H137">
        <v>1</v>
      </c>
      <c r="I137" s="147">
        <v>243971</v>
      </c>
      <c r="M137" s="147">
        <v>243971</v>
      </c>
      <c r="N137" t="s">
        <v>239</v>
      </c>
      <c r="O137" t="s">
        <v>376</v>
      </c>
    </row>
    <row r="138" spans="1:15" x14ac:dyDescent="0.35">
      <c r="A138">
        <v>137</v>
      </c>
      <c r="B138" t="s">
        <v>76</v>
      </c>
      <c r="C138" t="s">
        <v>380</v>
      </c>
      <c r="D138" t="s">
        <v>374</v>
      </c>
      <c r="E138" t="s">
        <v>381</v>
      </c>
      <c r="F138" t="s">
        <v>166</v>
      </c>
      <c r="G138" t="s">
        <v>381</v>
      </c>
      <c r="H138">
        <v>320</v>
      </c>
      <c r="I138" s="147">
        <v>5522</v>
      </c>
      <c r="M138" s="147">
        <v>1767040</v>
      </c>
      <c r="N138" t="s">
        <v>239</v>
      </c>
      <c r="O138" t="s">
        <v>376</v>
      </c>
    </row>
    <row r="139" spans="1:15" x14ac:dyDescent="0.35">
      <c r="A139">
        <v>138</v>
      </c>
      <c r="B139" t="s">
        <v>76</v>
      </c>
      <c r="C139" t="s">
        <v>380</v>
      </c>
      <c r="D139" t="s">
        <v>374</v>
      </c>
      <c r="E139" t="s">
        <v>381</v>
      </c>
      <c r="F139" t="s">
        <v>382</v>
      </c>
      <c r="G139" t="s">
        <v>381</v>
      </c>
      <c r="I139" s="147">
        <v>545111</v>
      </c>
      <c r="M139" s="147">
        <v>0</v>
      </c>
      <c r="N139" t="s">
        <v>239</v>
      </c>
      <c r="O139" t="s">
        <v>376</v>
      </c>
    </row>
    <row r="140" spans="1:15" x14ac:dyDescent="0.35">
      <c r="A140">
        <v>139</v>
      </c>
      <c r="B140" t="s">
        <v>76</v>
      </c>
      <c r="C140" t="s">
        <v>380</v>
      </c>
      <c r="D140" t="s">
        <v>374</v>
      </c>
      <c r="E140" t="s">
        <v>381</v>
      </c>
      <c r="F140" t="s">
        <v>169</v>
      </c>
      <c r="G140" t="s">
        <v>381</v>
      </c>
      <c r="H140">
        <v>2</v>
      </c>
      <c r="I140" s="147">
        <v>51200</v>
      </c>
      <c r="M140" s="147">
        <v>102400</v>
      </c>
      <c r="N140" t="s">
        <v>239</v>
      </c>
      <c r="O140" t="s">
        <v>376</v>
      </c>
    </row>
    <row r="141" spans="1:15" x14ac:dyDescent="0.35">
      <c r="A141">
        <v>140</v>
      </c>
      <c r="B141" t="s">
        <v>76</v>
      </c>
      <c r="C141" t="s">
        <v>380</v>
      </c>
      <c r="D141" t="s">
        <v>374</v>
      </c>
      <c r="E141" t="s">
        <v>381</v>
      </c>
      <c r="F141" t="s">
        <v>383</v>
      </c>
      <c r="M141" s="147">
        <v>2113411</v>
      </c>
      <c r="N141" t="s">
        <v>157</v>
      </c>
    </row>
    <row r="142" spans="1:15" x14ac:dyDescent="0.35">
      <c r="A142">
        <v>141</v>
      </c>
      <c r="B142" t="s">
        <v>76</v>
      </c>
      <c r="C142" t="s">
        <v>4</v>
      </c>
      <c r="N142" t="s">
        <v>269</v>
      </c>
      <c r="O142" t="s">
        <v>270</v>
      </c>
    </row>
    <row r="143" spans="1:15" x14ac:dyDescent="0.35">
      <c r="A143">
        <v>142</v>
      </c>
      <c r="B143" t="s">
        <v>76</v>
      </c>
      <c r="C143" t="s">
        <v>4</v>
      </c>
      <c r="N143" t="s">
        <v>269</v>
      </c>
      <c r="O143" t="s">
        <v>384</v>
      </c>
    </row>
    <row r="144" spans="1:15" x14ac:dyDescent="0.35">
      <c r="A144">
        <v>143</v>
      </c>
      <c r="B144" t="s">
        <v>76</v>
      </c>
      <c r="C144" t="s">
        <v>4</v>
      </c>
      <c r="N144" t="s">
        <v>269</v>
      </c>
      <c r="O144" t="s">
        <v>385</v>
      </c>
    </row>
    <row r="145" spans="1:15" x14ac:dyDescent="0.35">
      <c r="A145">
        <v>144</v>
      </c>
      <c r="B145" t="s">
        <v>76</v>
      </c>
      <c r="C145" t="s">
        <v>4</v>
      </c>
      <c r="N145" t="s">
        <v>269</v>
      </c>
      <c r="O145" t="s">
        <v>386</v>
      </c>
    </row>
    <row r="146" spans="1:15" x14ac:dyDescent="0.35">
      <c r="A146">
        <v>145</v>
      </c>
      <c r="B146" t="s">
        <v>76</v>
      </c>
      <c r="C146" t="s">
        <v>4</v>
      </c>
      <c r="N146" t="s">
        <v>269</v>
      </c>
      <c r="O146" t="s">
        <v>387</v>
      </c>
    </row>
    <row r="147" spans="1:15" x14ac:dyDescent="0.35">
      <c r="A147">
        <v>146</v>
      </c>
      <c r="B147" t="s">
        <v>76</v>
      </c>
      <c r="C147" t="s">
        <v>4</v>
      </c>
      <c r="N147" t="s">
        <v>269</v>
      </c>
      <c r="O147" t="s">
        <v>388</v>
      </c>
    </row>
    <row r="148" spans="1:15" x14ac:dyDescent="0.35">
      <c r="A148">
        <v>147</v>
      </c>
      <c r="B148" t="s">
        <v>76</v>
      </c>
      <c r="C148" t="s">
        <v>4</v>
      </c>
      <c r="N148" t="s">
        <v>269</v>
      </c>
      <c r="O148" t="s">
        <v>389</v>
      </c>
    </row>
    <row r="149" spans="1:15" x14ac:dyDescent="0.35">
      <c r="A149">
        <v>148</v>
      </c>
      <c r="B149" t="s">
        <v>76</v>
      </c>
      <c r="C149" t="s">
        <v>4</v>
      </c>
      <c r="N149" t="s">
        <v>269</v>
      </c>
      <c r="O149" t="s">
        <v>390</v>
      </c>
    </row>
    <row r="150" spans="1:15" x14ac:dyDescent="0.35">
      <c r="A150">
        <v>149</v>
      </c>
      <c r="B150" t="s">
        <v>76</v>
      </c>
      <c r="C150" t="s">
        <v>4</v>
      </c>
      <c r="N150" t="s">
        <v>269</v>
      </c>
      <c r="O150" t="s">
        <v>391</v>
      </c>
    </row>
    <row r="151" spans="1:15" x14ac:dyDescent="0.35">
      <c r="A151">
        <v>150</v>
      </c>
      <c r="B151" t="s">
        <v>76</v>
      </c>
      <c r="C151" t="s">
        <v>4</v>
      </c>
      <c r="N151" t="s">
        <v>269</v>
      </c>
      <c r="O151" t="s">
        <v>392</v>
      </c>
    </row>
    <row r="152" spans="1:15" x14ac:dyDescent="0.35">
      <c r="A152">
        <v>151</v>
      </c>
      <c r="B152" t="s">
        <v>76</v>
      </c>
      <c r="C152" t="s">
        <v>4</v>
      </c>
      <c r="N152" t="s">
        <v>269</v>
      </c>
      <c r="O152" t="s">
        <v>393</v>
      </c>
    </row>
    <row r="153" spans="1:15" x14ac:dyDescent="0.35">
      <c r="A153">
        <v>152</v>
      </c>
      <c r="B153" t="s">
        <v>76</v>
      </c>
      <c r="C153" t="s">
        <v>4</v>
      </c>
      <c r="N153" t="s">
        <v>269</v>
      </c>
      <c r="O153" t="s">
        <v>394</v>
      </c>
    </row>
    <row r="154" spans="1:15" x14ac:dyDescent="0.35">
      <c r="A154">
        <v>153</v>
      </c>
      <c r="B154" t="s">
        <v>76</v>
      </c>
      <c r="C154" t="s">
        <v>4</v>
      </c>
      <c r="N154" t="s">
        <v>269</v>
      </c>
      <c r="O154" t="s">
        <v>395</v>
      </c>
    </row>
    <row r="155" spans="1:15" x14ac:dyDescent="0.35">
      <c r="A155">
        <v>154</v>
      </c>
      <c r="B155" t="s">
        <v>76</v>
      </c>
      <c r="C155" t="s">
        <v>4</v>
      </c>
      <c r="N155" t="s">
        <v>269</v>
      </c>
      <c r="O155" t="s">
        <v>396</v>
      </c>
    </row>
    <row r="156" spans="1:15" x14ac:dyDescent="0.35">
      <c r="A156">
        <v>155</v>
      </c>
      <c r="B156" t="s">
        <v>76</v>
      </c>
      <c r="C156" t="s">
        <v>4</v>
      </c>
      <c r="N156" t="s">
        <v>269</v>
      </c>
      <c r="O156" t="s">
        <v>397</v>
      </c>
    </row>
    <row r="157" spans="1:15" x14ac:dyDescent="0.35">
      <c r="A157">
        <v>156</v>
      </c>
      <c r="B157" t="s">
        <v>76</v>
      </c>
      <c r="C157" t="s">
        <v>4</v>
      </c>
      <c r="N157" t="s">
        <v>269</v>
      </c>
      <c r="O157" t="s">
        <v>398</v>
      </c>
    </row>
    <row r="158" spans="1:15" x14ac:dyDescent="0.35">
      <c r="A158">
        <v>157</v>
      </c>
      <c r="B158" t="s">
        <v>399</v>
      </c>
      <c r="C158" t="s">
        <v>400</v>
      </c>
      <c r="N158" t="s">
        <v>401</v>
      </c>
      <c r="O158" t="s">
        <v>402</v>
      </c>
    </row>
    <row r="159" spans="1:15" x14ac:dyDescent="0.35">
      <c r="A159">
        <v>158</v>
      </c>
      <c r="B159" t="s">
        <v>399</v>
      </c>
      <c r="C159" t="s">
        <v>400</v>
      </c>
      <c r="N159" t="s">
        <v>401</v>
      </c>
      <c r="O159" t="s">
        <v>403</v>
      </c>
    </row>
    <row r="160" spans="1:15" x14ac:dyDescent="0.35">
      <c r="A160">
        <v>159</v>
      </c>
      <c r="B160" t="s">
        <v>399</v>
      </c>
      <c r="C160" t="s">
        <v>400</v>
      </c>
      <c r="N160" t="s">
        <v>401</v>
      </c>
      <c r="O160" t="s">
        <v>404</v>
      </c>
    </row>
    <row r="161" spans="1:15" x14ac:dyDescent="0.35">
      <c r="A161">
        <v>160</v>
      </c>
      <c r="B161" t="s">
        <v>399</v>
      </c>
      <c r="C161" t="s">
        <v>400</v>
      </c>
      <c r="N161" t="s">
        <v>401</v>
      </c>
      <c r="O161" t="s">
        <v>405</v>
      </c>
    </row>
    <row r="162" spans="1:15" x14ac:dyDescent="0.35">
      <c r="A162">
        <v>161</v>
      </c>
      <c r="B162" t="s">
        <v>399</v>
      </c>
      <c r="C162" t="s">
        <v>400</v>
      </c>
      <c r="N162" t="s">
        <v>401</v>
      </c>
      <c r="O162" t="s">
        <v>406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y consultas</vt:lpstr>
      <vt:lpstr>Trailers</vt:lpstr>
      <vt:lpstr>Logistica</vt:lpstr>
      <vt:lpstr>Ambulancias</vt:lpstr>
      <vt:lpstr>Tabla Estandarizada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Crespo, Juliana</dc:creator>
  <cp:keywords/>
  <dc:description/>
  <cp:lastModifiedBy>Alonso, Santiago</cp:lastModifiedBy>
  <cp:revision/>
  <dcterms:created xsi:type="dcterms:W3CDTF">2015-06-05T18:19:34Z</dcterms:created>
  <dcterms:modified xsi:type="dcterms:W3CDTF">2026-05-28T19:19:29Z</dcterms:modified>
  <cp:category/>
  <cp:contentStatus/>
</cp:coreProperties>
</file>
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onso\Downloads\"/>
    </mc:Choice>
  </mc:AlternateContent>
  <xr:revisionPtr revIDLastSave="0" documentId="8_{A15AB9AB-856A-47DB-AA69-04C374D3FEF2}" xr6:coauthVersionLast="47" xr6:coauthVersionMax="47" xr10:uidLastSave="{00000000-0000-0000-0000-000000000000}"/>
  <bookViews>
    <workbookView xWindow="-110" yWindow="-110" windowWidth="19420" windowHeight="10300" firstSheet="3" activeTab="10" xr2:uid="{00000000-000D-0000-FFFF-FFFF00000000}"/>
  </bookViews>
  <sheets>
    <sheet name="Antigüedad y Vencimiento" sheetId="1" state="hidden" r:id="rId1"/>
    <sheet name="Resumen Directorio" sheetId="14" r:id="rId2"/>
    <sheet name="Resumen" sheetId="3" r:id="rId3"/>
    <sheet name="Datos" sheetId="2" r:id="rId4"/>
    <sheet name="Análisis por sector" sheetId="4" state="hidden" r:id="rId5"/>
    <sheet name="Por Cliente" sheetId="5" state="hidden" r:id="rId6"/>
    <sheet name="Q moviles necesarios segun RF26" sheetId="13" r:id="rId7"/>
    <sheet name="Plan de Compras" sheetId="10" state="hidden" r:id="rId8"/>
    <sheet name="Resumen por Año" sheetId="11" state="hidden" r:id="rId9"/>
    <sheet name="Base por año" sheetId="12" r:id="rId10"/>
    <sheet name="Trailers (MODELO)" sheetId="15" r:id="rId11"/>
    <sheet name="Antigüedad" sheetId="6" state="hidden" r:id="rId12"/>
    <sheet name="Plan Renovación" sheetId="7" state="hidden" r:id="rId13"/>
    <sheet name="Detalle Renovación" sheetId="8" state="hidden" r:id="rId14"/>
    <sheet name="Datos Gráficos" sheetId="9" state="hidden" r:id="rId15"/>
  </sheets>
  <definedNames>
    <definedName name="_xlnm._FilterDatabase" localSheetId="11" hidden="1">Antigüedad!$A$5:$K$89</definedName>
    <definedName name="_xlnm._FilterDatabase" localSheetId="9" hidden="1">'Base por año'!$A$5:$L$89</definedName>
    <definedName name="_xlnm._FilterDatabase" localSheetId="13" hidden="1">'Detalle Renovación'!$A$2:$J$72</definedName>
    <definedName name="_xlnm._FilterDatabase" localSheetId="5" hidden="1">'Por Cliente'!$A$4:$K$43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4" l="1"/>
  <c r="J49" i="14"/>
  <c r="I49" i="14"/>
  <c r="H49" i="14"/>
  <c r="G49" i="14"/>
  <c r="F49" i="14"/>
  <c r="E49" i="14"/>
  <c r="D49" i="14"/>
  <c r="K48" i="14"/>
  <c r="J48" i="14"/>
  <c r="I48" i="14"/>
  <c r="H48" i="14"/>
  <c r="G48" i="14"/>
  <c r="F48" i="14"/>
  <c r="E48" i="14"/>
  <c r="D48" i="14"/>
  <c r="K18" i="14"/>
  <c r="J18" i="14"/>
  <c r="I18" i="14"/>
  <c r="H18" i="14"/>
  <c r="G18" i="14"/>
  <c r="F18" i="14"/>
  <c r="E18" i="14"/>
  <c r="D18" i="14"/>
  <c r="F50" i="14" l="1"/>
  <c r="H50" i="14"/>
  <c r="E50" i="14"/>
  <c r="I50" i="14"/>
  <c r="G50" i="14"/>
  <c r="K50" i="14"/>
  <c r="L49" i="14"/>
  <c r="L48" i="14"/>
  <c r="J50" i="14"/>
  <c r="L50" i="14"/>
  <c r="D50" i="14"/>
  <c r="C49" i="14"/>
  <c r="C48" i="14"/>
  <c r="C50" i="14" l="1"/>
  <c r="B18" i="3" l="1"/>
  <c r="D45" i="14"/>
  <c r="E45" i="14"/>
  <c r="F45" i="14"/>
  <c r="G45" i="14"/>
  <c r="H45" i="14"/>
  <c r="I45" i="14"/>
  <c r="J45" i="14"/>
  <c r="K45" i="14"/>
  <c r="D39" i="14"/>
  <c r="D53" i="14" s="1"/>
  <c r="E39" i="14"/>
  <c r="F39" i="14"/>
  <c r="G39" i="14"/>
  <c r="H39" i="14"/>
  <c r="I39" i="14"/>
  <c r="J39" i="14"/>
  <c r="K39" i="14"/>
  <c r="D17" i="14"/>
  <c r="E17" i="14"/>
  <c r="F17" i="14"/>
  <c r="G17" i="14"/>
  <c r="H17" i="14"/>
  <c r="I17" i="14"/>
  <c r="J17" i="14"/>
  <c r="K17" i="14"/>
  <c r="D12" i="14"/>
  <c r="E12" i="14"/>
  <c r="F12" i="14"/>
  <c r="G12" i="14"/>
  <c r="H12" i="14"/>
  <c r="I12" i="14"/>
  <c r="J12" i="14"/>
  <c r="K12" i="14"/>
  <c r="D16" i="14"/>
  <c r="E16" i="14"/>
  <c r="F16" i="14"/>
  <c r="G16" i="14"/>
  <c r="H16" i="14"/>
  <c r="I16" i="14"/>
  <c r="J16" i="14"/>
  <c r="K16" i="14"/>
  <c r="K47" i="14"/>
  <c r="J47" i="14"/>
  <c r="I47" i="14"/>
  <c r="H47" i="14"/>
  <c r="G47" i="14"/>
  <c r="F47" i="14"/>
  <c r="E47" i="14"/>
  <c r="D47" i="14"/>
  <c r="K22" i="14"/>
  <c r="J22" i="14"/>
  <c r="I22" i="14"/>
  <c r="H22" i="14"/>
  <c r="G22" i="14"/>
  <c r="F22" i="14"/>
  <c r="E22" i="14"/>
  <c r="D22" i="14"/>
  <c r="K8" i="14"/>
  <c r="J8" i="14"/>
  <c r="I8" i="14"/>
  <c r="H8" i="14"/>
  <c r="G8" i="14"/>
  <c r="F8" i="14"/>
  <c r="E8" i="14"/>
  <c r="D8" i="14"/>
  <c r="K23" i="14"/>
  <c r="J23" i="14"/>
  <c r="I23" i="14"/>
  <c r="H23" i="14"/>
  <c r="G23" i="14"/>
  <c r="F23" i="14"/>
  <c r="E23" i="14"/>
  <c r="D23" i="14"/>
  <c r="K21" i="14"/>
  <c r="J21" i="14"/>
  <c r="I21" i="14"/>
  <c r="H21" i="14"/>
  <c r="G21" i="14"/>
  <c r="F21" i="14"/>
  <c r="E21" i="14"/>
  <c r="D21" i="14"/>
  <c r="K20" i="14"/>
  <c r="J20" i="14"/>
  <c r="I20" i="14"/>
  <c r="H20" i="14"/>
  <c r="G20" i="14"/>
  <c r="F20" i="14"/>
  <c r="E20" i="14"/>
  <c r="D20" i="14"/>
  <c r="K14" i="14"/>
  <c r="J14" i="14"/>
  <c r="I14" i="14"/>
  <c r="H14" i="14"/>
  <c r="G14" i="14"/>
  <c r="F14" i="14"/>
  <c r="E14" i="14"/>
  <c r="D14" i="14"/>
  <c r="K11" i="14"/>
  <c r="J11" i="14"/>
  <c r="I11" i="14"/>
  <c r="H11" i="14"/>
  <c r="G11" i="14"/>
  <c r="F11" i="14"/>
  <c r="E11" i="14"/>
  <c r="D11" i="14"/>
  <c r="K13" i="14"/>
  <c r="J13" i="14"/>
  <c r="I13" i="14"/>
  <c r="H13" i="14"/>
  <c r="G13" i="14"/>
  <c r="F13" i="14"/>
  <c r="E13" i="14"/>
  <c r="D13" i="14"/>
  <c r="K10" i="14"/>
  <c r="J10" i="14"/>
  <c r="I10" i="14"/>
  <c r="H10" i="14"/>
  <c r="G10" i="14"/>
  <c r="F10" i="14"/>
  <c r="E10" i="14"/>
  <c r="D10" i="14"/>
  <c r="K9" i="14"/>
  <c r="J9" i="14"/>
  <c r="I9" i="14"/>
  <c r="H9" i="14"/>
  <c r="G9" i="14"/>
  <c r="F9" i="14"/>
  <c r="E9" i="14"/>
  <c r="D9" i="14"/>
  <c r="K7" i="14"/>
  <c r="J7" i="14"/>
  <c r="I7" i="14"/>
  <c r="H7" i="14"/>
  <c r="G7" i="14"/>
  <c r="F7" i="14"/>
  <c r="E7" i="14"/>
  <c r="D7" i="14"/>
  <c r="J53" i="14" l="1"/>
  <c r="I53" i="14"/>
  <c r="H53" i="14"/>
  <c r="G53" i="14"/>
  <c r="K53" i="14"/>
  <c r="F53" i="14"/>
  <c r="E53" i="14"/>
  <c r="C45" i="14"/>
  <c r="L45" i="14"/>
  <c r="C39" i="14"/>
  <c r="L39" i="14"/>
  <c r="L53" i="14" s="1"/>
  <c r="L17" i="14"/>
  <c r="C17" i="14"/>
  <c r="C12" i="14"/>
  <c r="L12" i="14"/>
  <c r="C16" i="14"/>
  <c r="L16" i="14"/>
  <c r="L22" i="14"/>
  <c r="L8" i="14"/>
  <c r="L13" i="14"/>
  <c r="L7" i="14"/>
  <c r="L11" i="14"/>
  <c r="L14" i="14"/>
  <c r="L21" i="14"/>
  <c r="L47" i="14"/>
  <c r="C47" i="14"/>
  <c r="C22" i="14"/>
  <c r="C8" i="14"/>
  <c r="L18" i="14"/>
  <c r="L23" i="14"/>
  <c r="C13" i="14"/>
  <c r="C21" i="14"/>
  <c r="C20" i="14"/>
  <c r="L9" i="14"/>
  <c r="C10" i="14"/>
  <c r="L10" i="14"/>
  <c r="L20" i="14"/>
  <c r="C7" i="14"/>
  <c r="C11" i="14"/>
  <c r="C9" i="14"/>
  <c r="C18" i="14"/>
  <c r="C14" i="14"/>
  <c r="C23" i="14"/>
  <c r="F41" i="4"/>
  <c r="E41" i="4"/>
  <c r="D41" i="4"/>
  <c r="C41" i="4"/>
  <c r="B41" i="4"/>
  <c r="F40" i="4" a="1"/>
  <c r="F40" i="4" s="1"/>
  <c r="E40" i="4" a="1"/>
  <c r="E40" i="4" s="1"/>
  <c r="D40" i="4" a="1"/>
  <c r="D40" i="4" s="1"/>
  <c r="C40" i="4" a="1"/>
  <c r="C40" i="4" s="1"/>
  <c r="B40" i="4" a="1"/>
  <c r="B40" i="4" s="1"/>
  <c r="F39" i="4"/>
  <c r="E39" i="4"/>
  <c r="D39" i="4"/>
  <c r="C39" i="4"/>
  <c r="B39" i="4"/>
  <c r="F37" i="4" a="1"/>
  <c r="F37" i="4" s="1"/>
  <c r="E37" i="4" a="1"/>
  <c r="E37" i="4" s="1"/>
  <c r="D37" i="4" a="1"/>
  <c r="D37" i="4" s="1"/>
  <c r="C37" i="4" a="1"/>
  <c r="C37" i="4" s="1"/>
  <c r="B37" i="4" a="1"/>
  <c r="B37" i="4" s="1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19" i="3"/>
  <c r="E19" i="3"/>
  <c r="D19" i="3"/>
  <c r="C19" i="3"/>
  <c r="B19" i="3"/>
  <c r="D15" i="14"/>
  <c r="E15" i="14"/>
  <c r="F15" i="14"/>
  <c r="G15" i="14"/>
  <c r="H15" i="14"/>
  <c r="I15" i="14"/>
  <c r="J15" i="14"/>
  <c r="K15" i="14"/>
  <c r="D19" i="14"/>
  <c r="E19" i="14"/>
  <c r="F19" i="14"/>
  <c r="G19" i="14"/>
  <c r="H19" i="14"/>
  <c r="I19" i="14"/>
  <c r="J19" i="14"/>
  <c r="K19" i="14"/>
  <c r="D24" i="14"/>
  <c r="E24" i="14"/>
  <c r="F24" i="14"/>
  <c r="G24" i="14"/>
  <c r="H24" i="14"/>
  <c r="I24" i="14"/>
  <c r="J24" i="14"/>
  <c r="K24" i="14"/>
  <c r="O32" i="13"/>
  <c r="N32" i="13"/>
  <c r="M32" i="13"/>
  <c r="L32" i="13"/>
  <c r="K32" i="13"/>
  <c r="J32" i="13"/>
  <c r="I32" i="13"/>
  <c r="H32" i="13"/>
  <c r="G32" i="13"/>
  <c r="F32" i="13"/>
  <c r="E32" i="13"/>
  <c r="D32" i="13"/>
  <c r="F15" i="3"/>
  <c r="E15" i="3"/>
  <c r="D15" i="3"/>
  <c r="E14" i="3"/>
  <c r="F13" i="3"/>
  <c r="E13" i="3"/>
  <c r="D13" i="3"/>
  <c r="C13" i="3"/>
  <c r="B13" i="3"/>
  <c r="F14" i="3"/>
  <c r="D14" i="3"/>
  <c r="C14" i="3"/>
  <c r="B14" i="3"/>
  <c r="F12" i="3"/>
  <c r="E12" i="3"/>
  <c r="D12" i="3"/>
  <c r="C12" i="3"/>
  <c r="B12" i="3"/>
  <c r="F17" i="3"/>
  <c r="E17" i="3"/>
  <c r="D17" i="3"/>
  <c r="C17" i="3"/>
  <c r="B17" i="3"/>
  <c r="F18" i="3"/>
  <c r="E18" i="3"/>
  <c r="D18" i="3"/>
  <c r="C18" i="3"/>
  <c r="F16" i="3"/>
  <c r="E16" i="3"/>
  <c r="D16" i="3"/>
  <c r="C16" i="3"/>
  <c r="B16" i="3"/>
  <c r="C15" i="3"/>
  <c r="B15" i="3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C8" i="3"/>
  <c r="G7" i="3"/>
  <c r="E7" i="3"/>
  <c r="C7" i="3"/>
  <c r="G5" i="3"/>
  <c r="E5" i="3"/>
  <c r="C5" i="3"/>
  <c r="A5" i="3"/>
  <c r="Q111" i="2"/>
  <c r="R111" i="2" s="1"/>
  <c r="P111" i="2"/>
  <c r="O111" i="2"/>
  <c r="Q110" i="2"/>
  <c r="R110" i="2" s="1"/>
  <c r="P110" i="2"/>
  <c r="O110" i="2"/>
  <c r="Q109" i="2"/>
  <c r="P109" i="2"/>
  <c r="O109" i="2"/>
  <c r="Q108" i="2"/>
  <c r="R108" i="2" s="1"/>
  <c r="P108" i="2"/>
  <c r="O108" i="2"/>
  <c r="Q107" i="2"/>
  <c r="R107" i="2" s="1"/>
  <c r="P107" i="2"/>
  <c r="O107" i="2"/>
  <c r="Q106" i="2"/>
  <c r="R106" i="2" s="1"/>
  <c r="P106" i="2"/>
  <c r="O106" i="2"/>
  <c r="Q105" i="2"/>
  <c r="R105" i="2" s="1"/>
  <c r="P105" i="2"/>
  <c r="O105" i="2"/>
  <c r="Q104" i="2"/>
  <c r="R104" i="2" s="1"/>
  <c r="P104" i="2"/>
  <c r="O104" i="2"/>
  <c r="Q103" i="2"/>
  <c r="P103" i="2"/>
  <c r="O103" i="2"/>
  <c r="Q102" i="2"/>
  <c r="R102" i="2" s="1"/>
  <c r="P102" i="2"/>
  <c r="O102" i="2"/>
  <c r="Q101" i="2"/>
  <c r="R101" i="2" s="1"/>
  <c r="P101" i="2"/>
  <c r="O101" i="2"/>
  <c r="Q100" i="2"/>
  <c r="R100" i="2" s="1"/>
  <c r="P100" i="2"/>
  <c r="O100" i="2"/>
  <c r="Q99" i="2"/>
  <c r="R99" i="2" s="1"/>
  <c r="P99" i="2"/>
  <c r="O99" i="2"/>
  <c r="Q98" i="2"/>
  <c r="P98" i="2"/>
  <c r="O98" i="2"/>
  <c r="Q97" i="2"/>
  <c r="P97" i="2"/>
  <c r="O97" i="2"/>
  <c r="Q96" i="2"/>
  <c r="R96" i="2" s="1"/>
  <c r="P96" i="2"/>
  <c r="O96" i="2"/>
  <c r="Q95" i="2"/>
  <c r="R95" i="2" s="1"/>
  <c r="P95" i="2"/>
  <c r="O95" i="2"/>
  <c r="Q94" i="2"/>
  <c r="R94" i="2" s="1"/>
  <c r="P94" i="2"/>
  <c r="O94" i="2"/>
  <c r="Q93" i="2"/>
  <c r="R93" i="2" s="1"/>
  <c r="P93" i="2"/>
  <c r="O93" i="2"/>
  <c r="Q92" i="2"/>
  <c r="P92" i="2"/>
  <c r="O92" i="2"/>
  <c r="Q91" i="2"/>
  <c r="R91" i="2" s="1"/>
  <c r="P91" i="2"/>
  <c r="O91" i="2"/>
  <c r="Q90" i="2"/>
  <c r="R90" i="2" s="1"/>
  <c r="P90" i="2"/>
  <c r="O90" i="2"/>
  <c r="Q89" i="2"/>
  <c r="R89" i="2" s="1"/>
  <c r="P89" i="2"/>
  <c r="O89" i="2"/>
  <c r="Q88" i="2"/>
  <c r="P88" i="2"/>
  <c r="O88" i="2"/>
  <c r="Q87" i="2"/>
  <c r="R87" i="2" s="1"/>
  <c r="P87" i="2"/>
  <c r="O87" i="2"/>
  <c r="Q86" i="2"/>
  <c r="P86" i="2"/>
  <c r="O86" i="2"/>
  <c r="Q85" i="2"/>
  <c r="P85" i="2"/>
  <c r="O85" i="2"/>
  <c r="Q84" i="2"/>
  <c r="R84" i="2" s="1"/>
  <c r="P84" i="2"/>
  <c r="O84" i="2"/>
  <c r="Q83" i="2"/>
  <c r="P83" i="2"/>
  <c r="O83" i="2"/>
  <c r="Q82" i="2"/>
  <c r="R82" i="2" s="1"/>
  <c r="P82" i="2"/>
  <c r="O82" i="2"/>
  <c r="Q81" i="2"/>
  <c r="R81" i="2" s="1"/>
  <c r="P81" i="2"/>
  <c r="O81" i="2"/>
  <c r="Q80" i="2"/>
  <c r="P80" i="2"/>
  <c r="O80" i="2"/>
  <c r="Q79" i="2"/>
  <c r="R79" i="2" s="1"/>
  <c r="P79" i="2"/>
  <c r="O79" i="2"/>
  <c r="Q78" i="2"/>
  <c r="R78" i="2" s="1"/>
  <c r="P78" i="2"/>
  <c r="O78" i="2"/>
  <c r="Q77" i="2"/>
  <c r="R77" i="2" s="1"/>
  <c r="P77" i="2"/>
  <c r="O77" i="2"/>
  <c r="Q76" i="2"/>
  <c r="P76" i="2"/>
  <c r="O76" i="2"/>
  <c r="Q75" i="2"/>
  <c r="R75" i="2" s="1"/>
  <c r="P75" i="2"/>
  <c r="O75" i="2"/>
  <c r="Q74" i="2"/>
  <c r="P74" i="2"/>
  <c r="O74" i="2"/>
  <c r="Q73" i="2"/>
  <c r="P73" i="2"/>
  <c r="O73" i="2"/>
  <c r="Q72" i="2"/>
  <c r="R72" i="2" s="1"/>
  <c r="P72" i="2"/>
  <c r="O72" i="2"/>
  <c r="Q71" i="2"/>
  <c r="R71" i="2" s="1"/>
  <c r="P71" i="2"/>
  <c r="O71" i="2"/>
  <c r="Q70" i="2"/>
  <c r="P70" i="2"/>
  <c r="O70" i="2"/>
  <c r="Q69" i="2"/>
  <c r="R69" i="2" s="1"/>
  <c r="P69" i="2"/>
  <c r="O69" i="2"/>
  <c r="Q68" i="2"/>
  <c r="R68" i="2" s="1"/>
  <c r="P68" i="2"/>
  <c r="O68" i="2"/>
  <c r="Q67" i="2"/>
  <c r="R67" i="2" s="1"/>
  <c r="P67" i="2"/>
  <c r="O67" i="2"/>
  <c r="Q66" i="2"/>
  <c r="R66" i="2" s="1"/>
  <c r="P66" i="2"/>
  <c r="O66" i="2"/>
  <c r="Q65" i="2"/>
  <c r="R65" i="2" s="1"/>
  <c r="P65" i="2"/>
  <c r="O65" i="2"/>
  <c r="Q64" i="2"/>
  <c r="P64" i="2"/>
  <c r="O64" i="2"/>
  <c r="Q63" i="2"/>
  <c r="P63" i="2"/>
  <c r="O63" i="2"/>
  <c r="Q62" i="2"/>
  <c r="R62" i="2" s="1"/>
  <c r="P62" i="2"/>
  <c r="O62" i="2"/>
  <c r="Q61" i="2"/>
  <c r="R61" i="2" s="1"/>
  <c r="P61" i="2"/>
  <c r="O61" i="2"/>
  <c r="Q60" i="2"/>
  <c r="R60" i="2" s="1"/>
  <c r="P60" i="2"/>
  <c r="O60" i="2"/>
  <c r="Q59" i="2"/>
  <c r="R59" i="2" s="1"/>
  <c r="P59" i="2"/>
  <c r="O59" i="2"/>
  <c r="Q58" i="2"/>
  <c r="P58" i="2"/>
  <c r="O58" i="2"/>
  <c r="Q57" i="2"/>
  <c r="R57" i="2" s="1"/>
  <c r="P57" i="2"/>
  <c r="O57" i="2"/>
  <c r="Q56" i="2"/>
  <c r="R56" i="2" s="1"/>
  <c r="P56" i="2"/>
  <c r="O56" i="2"/>
  <c r="Q55" i="2"/>
  <c r="R55" i="2" s="1"/>
  <c r="P55" i="2"/>
  <c r="O55" i="2"/>
  <c r="Q54" i="2"/>
  <c r="R54" i="2" s="1"/>
  <c r="P54" i="2"/>
  <c r="O54" i="2"/>
  <c r="Q53" i="2"/>
  <c r="R53" i="2" s="1"/>
  <c r="P53" i="2"/>
  <c r="O53" i="2"/>
  <c r="Q52" i="2"/>
  <c r="P52" i="2"/>
  <c r="O52" i="2"/>
  <c r="Q51" i="2"/>
  <c r="P51" i="2"/>
  <c r="O51" i="2"/>
  <c r="Q50" i="2"/>
  <c r="R50" i="2" s="1"/>
  <c r="P50" i="2"/>
  <c r="O50" i="2"/>
  <c r="Q49" i="2"/>
  <c r="R49" i="2" s="1"/>
  <c r="P49" i="2"/>
  <c r="O49" i="2"/>
  <c r="Q48" i="2"/>
  <c r="R48" i="2" s="1"/>
  <c r="P48" i="2"/>
  <c r="O48" i="2"/>
  <c r="Q47" i="2"/>
  <c r="R47" i="2" s="1"/>
  <c r="P47" i="2"/>
  <c r="O47" i="2"/>
  <c r="Q46" i="2"/>
  <c r="P46" i="2"/>
  <c r="O46" i="2"/>
  <c r="Q45" i="2"/>
  <c r="R45" i="2" s="1"/>
  <c r="P45" i="2"/>
  <c r="O45" i="2"/>
  <c r="Q44" i="2"/>
  <c r="R44" i="2" s="1"/>
  <c r="P44" i="2"/>
  <c r="O44" i="2"/>
  <c r="Q43" i="2"/>
  <c r="R43" i="2" s="1"/>
  <c r="P43" i="2"/>
  <c r="O43" i="2"/>
  <c r="Q42" i="2"/>
  <c r="R42" i="2" s="1"/>
  <c r="P42" i="2"/>
  <c r="O42" i="2"/>
  <c r="Q41" i="2"/>
  <c r="R41" i="2" s="1"/>
  <c r="P41" i="2"/>
  <c r="O41" i="2"/>
  <c r="Q40" i="2"/>
  <c r="P40" i="2"/>
  <c r="O40" i="2"/>
  <c r="Q39" i="2"/>
  <c r="P39" i="2"/>
  <c r="O39" i="2"/>
  <c r="Q38" i="2"/>
  <c r="R38" i="2" s="1"/>
  <c r="P38" i="2"/>
  <c r="O38" i="2"/>
  <c r="Q37" i="2"/>
  <c r="P37" i="2"/>
  <c r="O37" i="2"/>
  <c r="Q36" i="2"/>
  <c r="R36" i="2" s="1"/>
  <c r="P36" i="2"/>
  <c r="O36" i="2"/>
  <c r="Q35" i="2"/>
  <c r="P35" i="2"/>
  <c r="O35" i="2"/>
  <c r="Q34" i="2"/>
  <c r="P34" i="2"/>
  <c r="O34" i="2"/>
  <c r="Q33" i="2"/>
  <c r="R33" i="2" s="1"/>
  <c r="P33" i="2"/>
  <c r="O33" i="2"/>
  <c r="Q32" i="2"/>
  <c r="R32" i="2" s="1"/>
  <c r="P32" i="2"/>
  <c r="O32" i="2"/>
  <c r="Q31" i="2"/>
  <c r="R31" i="2" s="1"/>
  <c r="P31" i="2"/>
  <c r="O31" i="2"/>
  <c r="Q30" i="2"/>
  <c r="P30" i="2"/>
  <c r="O30" i="2"/>
  <c r="Q29" i="2"/>
  <c r="P29" i="2"/>
  <c r="O29" i="2"/>
  <c r="Q28" i="2"/>
  <c r="P28" i="2"/>
  <c r="O28" i="2"/>
  <c r="Q27" i="2"/>
  <c r="P27" i="2"/>
  <c r="O27" i="2"/>
  <c r="Q26" i="2"/>
  <c r="R26" i="2" s="1"/>
  <c r="P26" i="2"/>
  <c r="O26" i="2"/>
  <c r="Q25" i="2"/>
  <c r="R25" i="2" s="1"/>
  <c r="P25" i="2"/>
  <c r="O25" i="2"/>
  <c r="Q24" i="2"/>
  <c r="R24" i="2" s="1"/>
  <c r="P24" i="2"/>
  <c r="O24" i="2"/>
  <c r="Q23" i="2"/>
  <c r="R23" i="2" s="1"/>
  <c r="P23" i="2"/>
  <c r="O23" i="2"/>
  <c r="Q22" i="2"/>
  <c r="P22" i="2"/>
  <c r="O22" i="2"/>
  <c r="Q21" i="2"/>
  <c r="R21" i="2" s="1"/>
  <c r="P21" i="2"/>
  <c r="O21" i="2"/>
  <c r="Q20" i="2"/>
  <c r="R20" i="2" s="1"/>
  <c r="P20" i="2"/>
  <c r="O20" i="2"/>
  <c r="Q19" i="2"/>
  <c r="R19" i="2" s="1"/>
  <c r="P19" i="2"/>
  <c r="O19" i="2"/>
  <c r="Q18" i="2"/>
  <c r="R18" i="2" s="1"/>
  <c r="P18" i="2"/>
  <c r="O18" i="2"/>
  <c r="Q17" i="2"/>
  <c r="P17" i="2"/>
  <c r="O17" i="2"/>
  <c r="Q16" i="2"/>
  <c r="P16" i="2"/>
  <c r="O16" i="2"/>
  <c r="Q15" i="2"/>
  <c r="P15" i="2"/>
  <c r="O15" i="2"/>
  <c r="Q14" i="2"/>
  <c r="R14" i="2" s="1"/>
  <c r="P14" i="2"/>
  <c r="O14" i="2"/>
  <c r="Q13" i="2"/>
  <c r="P13" i="2"/>
  <c r="O13" i="2"/>
  <c r="Q12" i="2"/>
  <c r="R12" i="2" s="1"/>
  <c r="P12" i="2"/>
  <c r="O12" i="2"/>
  <c r="Q11" i="2"/>
  <c r="R11" i="2" s="1"/>
  <c r="P11" i="2"/>
  <c r="O11" i="2"/>
  <c r="Q10" i="2"/>
  <c r="P10" i="2"/>
  <c r="O10" i="2"/>
  <c r="Q9" i="2"/>
  <c r="R9" i="2" s="1"/>
  <c r="P9" i="2"/>
  <c r="O9" i="2"/>
  <c r="Q8" i="2"/>
  <c r="R8" i="2" s="1"/>
  <c r="P8" i="2"/>
  <c r="O8" i="2"/>
  <c r="Q7" i="2"/>
  <c r="R7" i="2" s="1"/>
  <c r="P7" i="2"/>
  <c r="O7" i="2"/>
  <c r="Q6" i="2"/>
  <c r="R6" i="2" s="1"/>
  <c r="P6" i="2"/>
  <c r="O6" i="2"/>
  <c r="Q5" i="2"/>
  <c r="P5" i="2"/>
  <c r="O5" i="2"/>
  <c r="Q4" i="2"/>
  <c r="P4" i="2"/>
  <c r="O4" i="2"/>
  <c r="Q3" i="2"/>
  <c r="P3" i="2"/>
  <c r="O3" i="2"/>
  <c r="C53" i="14" l="1"/>
  <c r="D20" i="3"/>
  <c r="E20" i="3"/>
  <c r="F20" i="3"/>
  <c r="B20" i="3"/>
  <c r="C20" i="3"/>
  <c r="L19" i="14"/>
  <c r="C24" i="14"/>
  <c r="L24" i="14"/>
  <c r="C19" i="14"/>
  <c r="I26" i="14"/>
  <c r="L15" i="14"/>
  <c r="C15" i="14"/>
  <c r="H26" i="14"/>
  <c r="G26" i="14"/>
  <c r="F26" i="14"/>
  <c r="G37" i="4"/>
  <c r="S105" i="2"/>
  <c r="G5" i="4"/>
  <c r="G7" i="4"/>
  <c r="G10" i="4"/>
  <c r="G11" i="4"/>
  <c r="G12" i="4"/>
  <c r="G27" i="4"/>
  <c r="G31" i="4"/>
  <c r="G32" i="4"/>
  <c r="G39" i="4"/>
  <c r="G40" i="4"/>
  <c r="G41" i="4"/>
  <c r="S108" i="2"/>
  <c r="S66" i="2"/>
  <c r="S14" i="2"/>
  <c r="S26" i="2"/>
  <c r="S62" i="2"/>
  <c r="G17" i="4"/>
  <c r="G24" i="4"/>
  <c r="G26" i="4"/>
  <c r="S88" i="2"/>
  <c r="G18" i="4"/>
  <c r="S18" i="2"/>
  <c r="S42" i="2"/>
  <c r="G28" i="4"/>
  <c r="S83" i="2"/>
  <c r="S95" i="2"/>
  <c r="G29" i="4"/>
  <c r="G6" i="4"/>
  <c r="S74" i="2"/>
  <c r="G9" i="4"/>
  <c r="G25" i="4"/>
  <c r="G30" i="4"/>
  <c r="G8" i="4"/>
  <c r="G19" i="4"/>
  <c r="S9" i="2"/>
  <c r="S33" i="2"/>
  <c r="S79" i="2"/>
  <c r="S106" i="2"/>
  <c r="S96" i="2"/>
  <c r="S100" i="2"/>
  <c r="S36" i="2"/>
  <c r="E20" i="4"/>
  <c r="H19" i="3"/>
  <c r="G19" i="3"/>
  <c r="E26" i="14"/>
  <c r="D26" i="14"/>
  <c r="K26" i="14"/>
  <c r="J26" i="14"/>
  <c r="H15" i="3"/>
  <c r="G17" i="3"/>
  <c r="G15" i="3"/>
  <c r="S38" i="2"/>
  <c r="S77" i="2"/>
  <c r="R88" i="2"/>
  <c r="S6" i="2"/>
  <c r="S49" i="2"/>
  <c r="B33" i="4"/>
  <c r="S111" i="2"/>
  <c r="F20" i="4"/>
  <c r="S94" i="2"/>
  <c r="S101" i="2"/>
  <c r="S43" i="2"/>
  <c r="S54" i="2"/>
  <c r="S76" i="2"/>
  <c r="S84" i="2"/>
  <c r="S21" i="2"/>
  <c r="S25" i="2"/>
  <c r="S50" i="2"/>
  <c r="S8" i="2"/>
  <c r="H13" i="3"/>
  <c r="H16" i="3"/>
  <c r="H12" i="3"/>
  <c r="S68" i="2"/>
  <c r="S31" i="2"/>
  <c r="S60" i="2"/>
  <c r="R73" i="2"/>
  <c r="S73" i="2" s="1"/>
  <c r="S7" i="2"/>
  <c r="S56" i="2"/>
  <c r="S91" i="2"/>
  <c r="E13" i="4"/>
  <c r="S102" i="2"/>
  <c r="S44" i="2"/>
  <c r="F13" i="4"/>
  <c r="B20" i="4"/>
  <c r="F44" i="5"/>
  <c r="S72" i="2"/>
  <c r="S85" i="2"/>
  <c r="S48" i="2"/>
  <c r="R30" i="2"/>
  <c r="S30" i="2" s="1"/>
  <c r="R37" i="2"/>
  <c r="S37" i="2" s="1"/>
  <c r="S69" i="2"/>
  <c r="S12" i="2"/>
  <c r="S32" i="2"/>
  <c r="S67" i="2"/>
  <c r="S78" i="2"/>
  <c r="S82" i="2"/>
  <c r="S107" i="2"/>
  <c r="H17" i="3"/>
  <c r="S24" i="2"/>
  <c r="S89" i="2"/>
  <c r="D33" i="4"/>
  <c r="S92" i="2"/>
  <c r="E33" i="4"/>
  <c r="R13" i="2"/>
  <c r="S13" i="2" s="1"/>
  <c r="R83" i="2"/>
  <c r="S86" i="2"/>
  <c r="G12" i="3"/>
  <c r="F33" i="4"/>
  <c r="R76" i="2"/>
  <c r="S20" i="2"/>
  <c r="S45" i="2"/>
  <c r="S55" i="2"/>
  <c r="S90" i="2"/>
  <c r="H18" i="3"/>
  <c r="B13" i="4"/>
  <c r="B44" i="5"/>
  <c r="S19" i="2"/>
  <c r="S61" i="2"/>
  <c r="C13" i="4"/>
  <c r="C33" i="4"/>
  <c r="C44" i="5"/>
  <c r="E44" i="5"/>
  <c r="D44" i="5"/>
  <c r="G13" i="3"/>
  <c r="G18" i="3"/>
  <c r="H14" i="3"/>
  <c r="C20" i="4"/>
  <c r="S57" i="2"/>
  <c r="R17" i="2"/>
  <c r="S17" i="2" s="1"/>
  <c r="R29" i="2"/>
  <c r="S29" i="2" s="1"/>
  <c r="R10" i="2"/>
  <c r="S10" i="2" s="1"/>
  <c r="R22" i="2"/>
  <c r="S22" i="2" s="1"/>
  <c r="R34" i="2"/>
  <c r="S34" i="2" s="1"/>
  <c r="S41" i="2"/>
  <c r="R46" i="2"/>
  <c r="S46" i="2" s="1"/>
  <c r="S53" i="2"/>
  <c r="R58" i="2"/>
  <c r="S58" i="2" s="1"/>
  <c r="S65" i="2"/>
  <c r="R70" i="2"/>
  <c r="S70" i="2" s="1"/>
  <c r="S75" i="2"/>
  <c r="R80" i="2"/>
  <c r="S80" i="2" s="1"/>
  <c r="S87" i="2"/>
  <c r="R92" i="2"/>
  <c r="S99" i="2"/>
  <c r="R103" i="2"/>
  <c r="S103" i="2" s="1"/>
  <c r="S110" i="2"/>
  <c r="G14" i="3"/>
  <c r="R39" i="2"/>
  <c r="S39" i="2" s="1"/>
  <c r="R51" i="2"/>
  <c r="S51" i="2" s="1"/>
  <c r="R63" i="2"/>
  <c r="S63" i="2" s="1"/>
  <c r="R85" i="2"/>
  <c r="R97" i="2"/>
  <c r="S97" i="2" s="1"/>
  <c r="R5" i="2"/>
  <c r="S5" i="2" s="1"/>
  <c r="R3" i="2"/>
  <c r="S3" i="2" s="1"/>
  <c r="R15" i="2"/>
  <c r="S15" i="2" s="1"/>
  <c r="R27" i="2"/>
  <c r="S27" i="2" s="1"/>
  <c r="R35" i="2"/>
  <c r="S35" i="2" s="1"/>
  <c r="S11" i="2"/>
  <c r="S23" i="2"/>
  <c r="R28" i="2"/>
  <c r="S28" i="2" s="1"/>
  <c r="R40" i="2"/>
  <c r="S40" i="2" s="1"/>
  <c r="S47" i="2"/>
  <c r="R52" i="2"/>
  <c r="S52" i="2" s="1"/>
  <c r="S59" i="2"/>
  <c r="R64" i="2"/>
  <c r="S64" i="2" s="1"/>
  <c r="S71" i="2"/>
  <c r="R74" i="2"/>
  <c r="S81" i="2"/>
  <c r="R86" i="2"/>
  <c r="S93" i="2"/>
  <c r="R98" i="2"/>
  <c r="S98" i="2" s="1"/>
  <c r="S104" i="2"/>
  <c r="R109" i="2"/>
  <c r="S109" i="2" s="1"/>
  <c r="D13" i="4"/>
  <c r="D20" i="4"/>
  <c r="R4" i="2"/>
  <c r="S4" i="2" s="1"/>
  <c r="R16" i="2"/>
  <c r="S16" i="2" s="1"/>
  <c r="G16" i="3"/>
  <c r="F55" i="14" l="1"/>
  <c r="L26" i="14"/>
  <c r="L55" i="14" s="1"/>
  <c r="E55" i="14"/>
  <c r="I55" i="14"/>
  <c r="K55" i="14"/>
  <c r="C26" i="14"/>
  <c r="C55" i="14" s="1"/>
  <c r="A2" i="14" s="1"/>
  <c r="H55" i="14"/>
  <c r="G55" i="14"/>
  <c r="D55" i="14"/>
  <c r="J55" i="14"/>
  <c r="G20" i="3"/>
  <c r="H20" i="3"/>
  <c r="G33" i="4"/>
  <c r="G20" i="4"/>
  <c r="G13" i="4"/>
  <c r="C23" i="9"/>
  <c r="C40" i="9"/>
  <c r="D27" i="9"/>
  <c r="B21" i="9"/>
  <c r="C32" i="9"/>
  <c r="C42" i="9"/>
  <c r="B24" i="9"/>
  <c r="C20" i="9"/>
  <c r="C34" i="9"/>
  <c r="D24" i="9"/>
  <c r="B18" i="9"/>
  <c r="C19" i="9"/>
  <c r="D20" i="9"/>
  <c r="D28" i="9"/>
  <c r="C26" i="9"/>
  <c r="C43" i="9"/>
  <c r="B29" i="9"/>
  <c r="C28" i="9"/>
  <c r="D21" i="9"/>
  <c r="B20" i="9"/>
  <c r="C27" i="9"/>
  <c r="C37" i="9"/>
  <c r="B26" i="9"/>
  <c r="C25" i="9"/>
  <c r="D18" i="9"/>
  <c r="B28" i="9"/>
  <c r="B25" i="9"/>
  <c r="C21" i="9"/>
  <c r="D29" i="9"/>
  <c r="B23" i="9"/>
  <c r="C22" i="9"/>
  <c r="C38" i="9"/>
  <c r="C41" i="9"/>
  <c r="C35" i="9"/>
  <c r="B22" i="9"/>
  <c r="D19" i="9"/>
  <c r="D26" i="9"/>
  <c r="C24" i="9"/>
  <c r="D23" i="9"/>
  <c r="C33" i="9"/>
  <c r="C36" i="9"/>
  <c r="D25" i="9"/>
  <c r="B19" i="9"/>
  <c r="C18" i="9"/>
  <c r="C29" i="9"/>
  <c r="D22" i="9"/>
  <c r="C39" i="9"/>
  <c r="B27" i="9"/>
  <c r="B43" i="9"/>
  <c r="B37" i="9"/>
  <c r="D15" i="9"/>
  <c r="D12" i="9"/>
  <c r="D9" i="9"/>
  <c r="D6" i="9"/>
  <c r="C15" i="9"/>
  <c r="C12" i="9"/>
  <c r="C9" i="9"/>
  <c r="C6" i="9"/>
  <c r="B42" i="9"/>
  <c r="B36" i="9"/>
  <c r="B15" i="9"/>
  <c r="B12" i="9"/>
  <c r="B9" i="9"/>
  <c r="B6" i="9"/>
  <c r="B41" i="9"/>
  <c r="B35" i="9"/>
  <c r="D14" i="9"/>
  <c r="D11" i="9"/>
  <c r="D8" i="9"/>
  <c r="D5" i="9"/>
  <c r="C14" i="9"/>
  <c r="C11" i="9"/>
  <c r="C8" i="9"/>
  <c r="C5" i="9"/>
  <c r="B40" i="9"/>
  <c r="B34" i="9"/>
  <c r="B14" i="9"/>
  <c r="B11" i="9"/>
  <c r="B8" i="9"/>
  <c r="B5" i="9"/>
  <c r="B39" i="9"/>
  <c r="B33" i="9"/>
  <c r="D13" i="9"/>
  <c r="D10" i="9"/>
  <c r="D7" i="9"/>
  <c r="D4" i="9"/>
  <c r="C13" i="9"/>
  <c r="C10" i="9"/>
  <c r="C7" i="9"/>
  <c r="C4" i="9"/>
  <c r="B38" i="9"/>
  <c r="B32" i="9"/>
  <c r="B13" i="9"/>
  <c r="B10" i="9"/>
  <c r="B7" i="9"/>
  <c r="B4" i="9"/>
  <c r="E20" i="9" l="1"/>
  <c r="E27" i="9"/>
  <c r="E7" i="9"/>
  <c r="E26" i="9"/>
  <c r="E4" i="9"/>
  <c r="E22" i="9"/>
  <c r="E5" i="9"/>
  <c r="E24" i="9"/>
  <c r="E9" i="9"/>
  <c r="E28" i="9"/>
  <c r="E8" i="9"/>
  <c r="E18" i="9"/>
  <c r="E10" i="9"/>
  <c r="E13" i="9"/>
  <c r="E23" i="9"/>
  <c r="E19" i="9"/>
  <c r="E11" i="9"/>
  <c r="E29" i="9"/>
  <c r="E14" i="9"/>
  <c r="E6" i="9"/>
  <c r="E21" i="9"/>
  <c r="E25" i="9"/>
  <c r="E12" i="9"/>
  <c r="E15" i="9"/>
  <c r="B38" i="4" a="1"/>
  <c r="B38" i="4" s="1"/>
  <c r="B42" i="4" s="1"/>
  <c r="C38" i="4" a="1"/>
  <c r="C38" i="4" s="1"/>
  <c r="C42" i="4" s="1"/>
  <c r="D38" i="4" a="1"/>
  <c r="D38" i="4" s="1"/>
  <c r="E38" i="4" a="1"/>
  <c r="E38" i="4" s="1"/>
  <c r="E42" i="4" s="1"/>
  <c r="F38" i="4" a="1"/>
  <c r="F38" i="4" s="1"/>
  <c r="F42" i="4" s="1"/>
  <c r="G38" i="4" l="1"/>
  <c r="D42" i="4"/>
  <c r="G4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Pellitta, Franco David</author>
  </authors>
  <commentList>
    <comment ref="D2" authorId="0" shapeId="0" xr:uid="{8D38C689-CE59-4C91-A459-1B1B358DE936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son 18 US Fijas pero la US de TALERO no tiene UTIM</t>
        </r>
      </text>
    </comment>
    <comment ref="K2" authorId="0" shapeId="0" xr:uid="{5A26E2D4-334E-4146-8133-C13D11D27592}">
      <text>
        <r>
          <rPr>
            <b/>
            <sz val="9"/>
            <color indexed="81"/>
            <rFont val="Tahoma"/>
            <family val="2"/>
          </rPr>
          <t>Pellitta, Franco David:</t>
        </r>
        <r>
          <rPr>
            <sz val="9"/>
            <color indexed="81"/>
            <rFont val="Tahoma"/>
            <family val="2"/>
          </rPr>
          <t xml:space="preserve">
baja chachahuen (quizas sigue)</t>
        </r>
      </text>
    </comment>
    <comment ref="H12" authorId="0" shapeId="0" xr:uid="{97615788-D0A5-47F2-BF0A-D32FF033F2A7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baja NGEX y una nueva UTIM</t>
        </r>
      </text>
    </comment>
    <comment ref="L12" authorId="0" shapeId="0" xr:uid="{2F41C8E8-BDA4-4772-8387-0FF0D102FEFB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suba NGEX </t>
        </r>
      </text>
    </comment>
    <comment ref="H13" authorId="0" shapeId="0" xr:uid="{6804EC66-D119-451C-ACDC-A7E905B680A1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Salar del rincon</t>
        </r>
      </text>
    </comment>
    <comment ref="M13" authorId="0" shapeId="0" xr:uid="{F36B9868-D3B2-4FDA-BC6B-5DCB0D8698BD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Sal de vida</t>
        </r>
      </text>
    </comment>
    <comment ref="I14" authorId="0" shapeId="0" xr:uid="{9018AC33-208D-49A1-8E49-9E16FBA3063D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Nuevo servicio en CABALLOS LARIOJA</t>
        </r>
      </text>
    </comment>
    <comment ref="H15" authorId="0" shapeId="0" xr:uid="{F573FFD3-FE72-4108-9612-F26DAB3A61F5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Inicio PPG</t>
        </r>
      </text>
    </comment>
    <comment ref="I15" authorId="0" shapeId="0" xr:uid="{09EDAC25-D6E2-4C77-9043-D0D827CC5EBB}">
      <text>
        <r>
          <rPr>
            <b/>
            <sz val="9"/>
            <color indexed="81"/>
            <rFont val="Tahoma"/>
            <charset val="1"/>
          </rPr>
          <t>Pellitta, Franco David:</t>
        </r>
        <r>
          <rPr>
            <sz val="9"/>
            <color indexed="81"/>
            <rFont val="Tahoma"/>
            <charset val="1"/>
          </rPr>
          <t xml:space="preserve">
Inicio socompa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<sst xmlns="http://schemas.openxmlformats.org/spreadsheetml/2006/main" count="4594" uniqueCount="762">
  <si>
    <t>PARQUE DE AMBULANCIAS — UTIM · ANTIGÜEDAD Y VENCIMIENTO POR SEGMENTO</t>
  </si>
  <si>
    <t>Límites vigentes: YPF/O&amp;G = 8 años  ·  VISTA OIL = 5 años  ·  Minería = 3 años  ·  Back Up / Disponible / OOD = 10 años (hab. nacional)  ·  UCI = Excluido  ·  Año de referencia: 2026</t>
  </si>
  <si>
    <t>Año
Patent.</t>
  </si>
  <si>
    <t>TOTAL
UTIM</t>
  </si>
  <si>
    <t>YPF / O&amp;G
(8 años)</t>
  </si>
  <si>
    <t>VISTA OIL
(5 años)</t>
  </si>
  <si>
    <t>Minería
(3 años)</t>
  </si>
  <si>
    <t>Back Up
(10 años)</t>
  </si>
  <si>
    <t>Disponible
(10 años)</t>
  </si>
  <si>
    <t>OOD
(10 años)</t>
  </si>
  <si>
    <t>UCI
(Excluido)</t>
  </si>
  <si>
    <t>→ 2021 ✗ VENCIDA</t>
  </si>
  <si>
    <t>→ 2028 ◄ 2028</t>
  </si>
  <si>
    <t>Excluido</t>
  </si>
  <si>
    <t>→ 2027 ◄ 2027</t>
  </si>
  <si>
    <t>→ 2029</t>
  </si>
  <si>
    <t>→ 2025 ✗ VENCIDA</t>
  </si>
  <si>
    <t>→ 2023 ✗ VENCIDA</t>
  </si>
  <si>
    <t>→ 2030</t>
  </si>
  <si>
    <t>→ 2026 ◄ 2026</t>
  </si>
  <si>
    <t>→ 2033</t>
  </si>
  <si>
    <t>→ 2032</t>
  </si>
  <si>
    <t>→ 2034</t>
  </si>
  <si>
    <t>→ 2035</t>
  </si>
  <si>
    <t>→ 2036</t>
  </si>
  <si>
    <t>TOTAL</t>
  </si>
  <si>
    <t>LEYENDA:</t>
  </si>
  <si>
    <t>◄ Vence en 2026 — URGENTE</t>
  </si>
  <si>
    <t>◄ Vence en 2027</t>
  </si>
  <si>
    <t>◄ Vence en 2028 — PICO</t>
  </si>
  <si>
    <t>✗ Ya vencida (acción inmediata)</t>
  </si>
  <si>
    <t>Vence 2029 en adelante</t>
  </si>
  <si>
    <t>PLAN DE RENOVACIÓN — UNIDADES A REPONER POR AÑO (sin optimización)</t>
  </si>
  <si>
    <t>Segmento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</si>
  <si>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</si>
  <si>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</si>
  <si>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</si>
  <si>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</si>
  <si>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</si>
  <si>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</si>
  <si>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</si>
  <si>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</si>
  <si>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</si>
  <si>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</si>
  <si>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</si>
  <si>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</si>
  <si>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</si>
  <si>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</si>
  <si>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</si>
  <si>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</si>
  <si>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YPF / O&amp;G (8 años)</t>
  </si>
  <si>
    <t>VISTA OIL (5 años)</t>
  </si>
  <si>
    <t>Minería (3 años)</t>
  </si>
  <si>
    <t>Back Up (10 años)</t>
  </si>
  <si>
    <t>Disponible (10 años)</t>
  </si>
  <si>
    <t>OOD (10 años)</t>
  </si>
  <si>
    <t>TOTAL GENERAL</t>
  </si>
  <si>
    <t>FLOTA DE MÓVILES — REGIÓN / CLIENTE × AÑO DE PATENTAMIENTO</t>
  </si>
  <si>
    <t>≥9 años (2017)</t>
  </si>
  <si>
    <t>7-8 años (2018)</t>
  </si>
  <si>
    <t>4-6 años (2019-22)</t>
  </si>
  <si>
    <t>2-3 años (2023-24)</t>
  </si>
  <si>
    <t>≤1 año (2025)</t>
  </si>
  <si>
    <t>UTIM — Ambulancias de Traslado Intensivo Móvil</t>
  </si>
  <si>
    <t>Región</t>
  </si>
  <si>
    <t>Cliente / Asignación</t>
  </si>
  <si>
    <t>Total</t>
  </si>
  <si>
    <t>Neuquén</t>
  </si>
  <si>
    <t>YPF</t>
  </si>
  <si>
    <t>—</t>
  </si>
  <si>
    <t>Vista Oil</t>
  </si>
  <si>
    <t>UCI</t>
  </si>
  <si>
    <t>Genneia</t>
  </si>
  <si>
    <t>Aconcagua</t>
  </si>
  <si>
    <t>Pecom</t>
  </si>
  <si>
    <t>Capex</t>
  </si>
  <si>
    <t>Back Up</t>
  </si>
  <si>
    <t>Disponible</t>
  </si>
  <si>
    <t>Subtotal Neuquén</t>
  </si>
  <si>
    <t>San Juan</t>
  </si>
  <si>
    <t>Vicuña</t>
  </si>
  <si>
    <t>Ngex</t>
  </si>
  <si>
    <t>En Reparación</t>
  </si>
  <si>
    <t>Subtotal San Juan</t>
  </si>
  <si>
    <t>Salta</t>
  </si>
  <si>
    <t>Ganfeng</t>
  </si>
  <si>
    <t>Inthegra</t>
  </si>
  <si>
    <t>Subtotal Salta</t>
  </si>
  <si>
    <t>TOTAL UTIM</t>
  </si>
  <si>
    <t>Logística — Vehículos de traslado de personal</t>
  </si>
  <si>
    <t>Trasl Personal</t>
  </si>
  <si>
    <t>Trasl Personal Capex</t>
  </si>
  <si>
    <t>Trasl Personal CIPH</t>
  </si>
  <si>
    <t>Enfermeria Chocon</t>
  </si>
  <si>
    <t>Mantenimiento</t>
  </si>
  <si>
    <t>Logistica - Transporte</t>
  </si>
  <si>
    <t>Supervisores</t>
  </si>
  <si>
    <t>Gerencial</t>
  </si>
  <si>
    <t>Pañol</t>
  </si>
  <si>
    <t>Vehiculo Guia</t>
  </si>
  <si>
    <t>Gerente</t>
  </si>
  <si>
    <t>Trans Personal</t>
  </si>
  <si>
    <t>TOTAL Logística</t>
  </si>
  <si>
    <t>Actualización automática: modificá hoja Datos → Fórmulas → Calcular ahora (F9)</t>
  </si>
  <si>
    <t>TOTAL MÓVILES</t>
  </si>
  <si>
    <t>ASIGNADOS</t>
  </si>
  <si>
    <t>DISPONIBLES</t>
  </si>
  <si>
    <t>BACK UP</t>
  </si>
  <si>
    <t>EN REPARACIÓN</t>
  </si>
  <si>
    <t>APERTURA POR REGIÓN OPERATIVA</t>
  </si>
  <si>
    <t>Asignados</t>
  </si>
  <si>
    <t>Disponibles</t>
  </si>
  <si>
    <t>% Disponible</t>
  </si>
  <si>
    <t>% Ocupación</t>
  </si>
  <si>
    <t>LOGISTICA NQN</t>
  </si>
  <si>
    <t>LOGISTICA SALTA</t>
  </si>
  <si>
    <t>LOGISTICA SJ</t>
  </si>
  <si>
    <t>UTIM NQN</t>
  </si>
  <si>
    <t>UTIM SALTA</t>
  </si>
  <si>
    <t>UTIM SJ</t>
  </si>
  <si>
    <t>PAMI</t>
  </si>
  <si>
    <t>Alquilados</t>
  </si>
  <si>
    <t>BASE DE DATOS — MÓVILES OPERATIVOS · Actualizá esta hoja mensualmente</t>
  </si>
  <si>
    <t>Vertical</t>
  </si>
  <si>
    <t>N° Interno</t>
  </si>
  <si>
    <t>Dominio</t>
  </si>
  <si>
    <t>Tipo</t>
  </si>
  <si>
    <t>Modelo</t>
  </si>
  <si>
    <t>Año</t>
  </si>
  <si>
    <t>Habilitación</t>
  </si>
  <si>
    <t>Cliente</t>
  </si>
  <si>
    <t>Área</t>
  </si>
  <si>
    <t>Carácter</t>
  </si>
  <si>
    <t>Provincia</t>
  </si>
  <si>
    <t>Estado</t>
  </si>
  <si>
    <t>Clasificación</t>
  </si>
  <si>
    <t>Flota</t>
  </si>
  <si>
    <t>Antigüedad</t>
  </si>
  <si>
    <t>Límite (años)</t>
  </si>
  <si>
    <t>Año Repo. Base</t>
  </si>
  <si>
    <t>Año Repo. Opt.</t>
  </si>
  <si>
    <t>Petróleo</t>
  </si>
  <si>
    <t>UDEM</t>
  </si>
  <si>
    <t>AB310UB</t>
  </si>
  <si>
    <t>FURGON</t>
  </si>
  <si>
    <t>Boxer 350 LH 2.3 HDI Confort</t>
  </si>
  <si>
    <t>HABILITACION RN</t>
  </si>
  <si>
    <t>Río Negro</t>
  </si>
  <si>
    <t>Asignado</t>
  </si>
  <si>
    <t>Cliente Externo</t>
  </si>
  <si>
    <t>180</t>
  </si>
  <si>
    <t>AB097AU</t>
  </si>
  <si>
    <t>AMBULANCIA</t>
  </si>
  <si>
    <t>TOYOTA HILUX 4X4 CS DX 2.4 TDI 6 MT</t>
  </si>
  <si>
    <t>HABILITACION NACIONAL</t>
  </si>
  <si>
    <t>Nacional/Pendiente</t>
  </si>
  <si>
    <t>OOD</t>
  </si>
  <si>
    <t>215</t>
  </si>
  <si>
    <t>AC329GI</t>
  </si>
  <si>
    <t>Toyota Hilux 4x4 2.5 TDI</t>
  </si>
  <si>
    <t>Techint</t>
  </si>
  <si>
    <t>Duplicar Norte</t>
  </si>
  <si>
    <t>Fija</t>
  </si>
  <si>
    <t>188</t>
  </si>
  <si>
    <t>AB960ZM</t>
  </si>
  <si>
    <t>HABILITACION NEUQUEN</t>
  </si>
  <si>
    <t>CAMBIO AC329GK</t>
  </si>
  <si>
    <t>190</t>
  </si>
  <si>
    <t>AB960ZO</t>
  </si>
  <si>
    <t>OK, NO USAR POR FALTA DE HABILITACION</t>
  </si>
  <si>
    <t>189</t>
  </si>
  <si>
    <t>AB960ZN</t>
  </si>
  <si>
    <t>187</t>
  </si>
  <si>
    <t>AB960ZL</t>
  </si>
  <si>
    <t>PARQUE SOLAR JUNIN</t>
  </si>
  <si>
    <t>174</t>
  </si>
  <si>
    <t>AA989TZ</t>
  </si>
  <si>
    <t>HABILITACION CHUBUT</t>
  </si>
  <si>
    <t>BACK UP BUENOS AIRES</t>
  </si>
  <si>
    <t>Chubut</t>
  </si>
  <si>
    <t>222</t>
  </si>
  <si>
    <t>AC434SW</t>
  </si>
  <si>
    <t>Ford Ranger 4x4 2.2L</t>
  </si>
  <si>
    <t>BACK UP BAHIA BLANCA</t>
  </si>
  <si>
    <t>221</t>
  </si>
  <si>
    <t>AC434SV</t>
  </si>
  <si>
    <t>INSPECCION FISCALIZACION SANIT NQN</t>
  </si>
  <si>
    <t>276</t>
  </si>
  <si>
    <t>AD786XB</t>
  </si>
  <si>
    <t>ENTRE LOMAS</t>
  </si>
  <si>
    <t>274</t>
  </si>
  <si>
    <t>AD776VZ</t>
  </si>
  <si>
    <t>VISTA OIL</t>
  </si>
  <si>
    <t xml:space="preserve">AGUILA MORA </t>
  </si>
  <si>
    <t>270</t>
  </si>
  <si>
    <t>AD776VS</t>
  </si>
  <si>
    <t>REPARACION POR PEDIDA DE ACEITE</t>
  </si>
  <si>
    <t>264</t>
  </si>
  <si>
    <t>AD776VM</t>
  </si>
  <si>
    <t>BACK-UP</t>
  </si>
  <si>
    <t>269</t>
  </si>
  <si>
    <t>AD776VR</t>
  </si>
  <si>
    <t>CHACHAHUEN</t>
  </si>
  <si>
    <t>280</t>
  </si>
  <si>
    <t>AD786XI</t>
  </si>
  <si>
    <t>265</t>
  </si>
  <si>
    <t>AD776VN</t>
  </si>
  <si>
    <t>CHIVILCOY</t>
  </si>
  <si>
    <t>271</t>
  </si>
  <si>
    <t>AD776VT</t>
  </si>
  <si>
    <t>BAJO DEL TORO</t>
  </si>
  <si>
    <t>266</t>
  </si>
  <si>
    <t>AD776VO</t>
  </si>
  <si>
    <t>PTG TEX - LLL</t>
  </si>
  <si>
    <t>268</t>
  </si>
  <si>
    <t>AD776VQ</t>
  </si>
  <si>
    <t>SIERRA BARROSA</t>
  </si>
  <si>
    <t>282</t>
  </si>
  <si>
    <t>AD786XK</t>
  </si>
  <si>
    <t>RIO NEUQUEN</t>
  </si>
  <si>
    <t>275</t>
  </si>
  <si>
    <t>AD786XA</t>
  </si>
  <si>
    <t>EL OCTOGONO</t>
  </si>
  <si>
    <t>267</t>
  </si>
  <si>
    <t>AD776VP</t>
  </si>
  <si>
    <t>PUESTO HERNANDEZ</t>
  </si>
  <si>
    <t>272</t>
  </si>
  <si>
    <t>AD776VU</t>
  </si>
  <si>
    <t>273</t>
  </si>
  <si>
    <t>AD776VY</t>
  </si>
  <si>
    <t>TRATAYEN - LC 339-2 MASE 16</t>
  </si>
  <si>
    <t>283</t>
  </si>
  <si>
    <t>AD786XL</t>
  </si>
  <si>
    <t>SEÑAL PICADA</t>
  </si>
  <si>
    <t>277</t>
  </si>
  <si>
    <t>AD786XC</t>
  </si>
  <si>
    <t>LAJE - DLS 166 PAD 31</t>
  </si>
  <si>
    <t>286</t>
  </si>
  <si>
    <t>AD786XX</t>
  </si>
  <si>
    <t>HAB NQN Y RN</t>
  </si>
  <si>
    <t>287</t>
  </si>
  <si>
    <t>AD786XY</t>
  </si>
  <si>
    <t>LA ANGOSTURA SUR</t>
  </si>
  <si>
    <t>399</t>
  </si>
  <si>
    <t>AF975MS</t>
  </si>
  <si>
    <t>TOYOTA HILUX 4X4 CC DX 2.4 TDI 6 MT</t>
  </si>
  <si>
    <t>EL OREJANO</t>
  </si>
  <si>
    <t>413</t>
  </si>
  <si>
    <t>AG054TD</t>
  </si>
  <si>
    <t>AGUADA VILLANUEVA</t>
  </si>
  <si>
    <t>Eventual</t>
  </si>
  <si>
    <t>412</t>
  </si>
  <si>
    <t>AG054TC</t>
  </si>
  <si>
    <t>EPF LACH CENTRO</t>
  </si>
  <si>
    <t>398</t>
  </si>
  <si>
    <t>AG225CI</t>
  </si>
  <si>
    <t>AGUADA LA ARENA</t>
  </si>
  <si>
    <t>394</t>
  </si>
  <si>
    <t>AF975MR</t>
  </si>
  <si>
    <t>LA RIBERA GCIA TPF</t>
  </si>
  <si>
    <t>400</t>
  </si>
  <si>
    <t>AF975MU</t>
  </si>
  <si>
    <t>GERENCIA NOC</t>
  </si>
  <si>
    <t>395</t>
  </si>
  <si>
    <t>AF975MT</t>
  </si>
  <si>
    <t>RINCON DEL MANGRULLO</t>
  </si>
  <si>
    <t>423</t>
  </si>
  <si>
    <t>AG395BW</t>
  </si>
  <si>
    <t>HILUX 4X4 C/S DX 2.4 TDI 6 M/T</t>
  </si>
  <si>
    <t>REFINERIA CIPH</t>
  </si>
  <si>
    <t>370</t>
  </si>
  <si>
    <t>AF683IU</t>
  </si>
  <si>
    <t>YX.NUEVA RANGER CS 4X4 XL 2.2L D</t>
  </si>
  <si>
    <t>LOMA CAMPANA ESTE / PLANTA DE ARENA</t>
  </si>
  <si>
    <t>371</t>
  </si>
  <si>
    <t>AF683IV</t>
  </si>
  <si>
    <t>AGUA DEL CAJON</t>
  </si>
  <si>
    <t>BackUp</t>
  </si>
  <si>
    <t>424</t>
  </si>
  <si>
    <t>AG435QP</t>
  </si>
  <si>
    <t>BACK UP NQN</t>
  </si>
  <si>
    <t>408</t>
  </si>
  <si>
    <t>AG445CD</t>
  </si>
  <si>
    <t>417</t>
  </si>
  <si>
    <t>AG543YE</t>
  </si>
  <si>
    <t>BACK UP Salta</t>
  </si>
  <si>
    <t>416</t>
  </si>
  <si>
    <t>AG543YD</t>
  </si>
  <si>
    <t>BAJADA DEL PALO - BATERIA 3</t>
  </si>
  <si>
    <t>425</t>
  </si>
  <si>
    <t>AG748DH</t>
  </si>
  <si>
    <t>LAJE 44 - HP 210</t>
  </si>
  <si>
    <t>426</t>
  </si>
  <si>
    <t>AG748DI</t>
  </si>
  <si>
    <t>BAJADA DEL PALO - BATERIA 4</t>
  </si>
  <si>
    <t>429</t>
  </si>
  <si>
    <t>AG748DL</t>
  </si>
  <si>
    <t>LOMA LA LATA GERENCIA</t>
  </si>
  <si>
    <t>430</t>
  </si>
  <si>
    <t>AG894TN</t>
  </si>
  <si>
    <t>BORDE MONTUOSO</t>
  </si>
  <si>
    <t>AG424JC</t>
  </si>
  <si>
    <t>LA CANTERA</t>
  </si>
  <si>
    <t>AG387QM</t>
  </si>
  <si>
    <t>VMOC</t>
  </si>
  <si>
    <t>ALQ</t>
  </si>
  <si>
    <t>AH577CH</t>
  </si>
  <si>
    <t>HABILITACION BUENOS AIRES</t>
  </si>
  <si>
    <t>MATACO</t>
  </si>
  <si>
    <t>Buenos Aires</t>
  </si>
  <si>
    <t>Logistica</t>
  </si>
  <si>
    <t>179</t>
  </si>
  <si>
    <t>AB057ZF</t>
  </si>
  <si>
    <t>LOGISTICA</t>
  </si>
  <si>
    <t>Fiat Strada</t>
  </si>
  <si>
    <t>Sin habilitación</t>
  </si>
  <si>
    <t>LOGISTICA/CAMBIO DE GUARDIA</t>
  </si>
  <si>
    <t>Interno</t>
  </si>
  <si>
    <t>216</t>
  </si>
  <si>
    <t>AC329GK</t>
  </si>
  <si>
    <t>Toyota Hilux 4x4 2.4 TDI</t>
  </si>
  <si>
    <t>224</t>
  </si>
  <si>
    <t>AC653IS</t>
  </si>
  <si>
    <t>Ford Ranger</t>
  </si>
  <si>
    <t>LOGISTICA / SUPERVISORES</t>
  </si>
  <si>
    <t>262</t>
  </si>
  <si>
    <t>AD729AW</t>
  </si>
  <si>
    <t>263</t>
  </si>
  <si>
    <t>AD729AX</t>
  </si>
  <si>
    <t>431</t>
  </si>
  <si>
    <t>AE588NM</t>
  </si>
  <si>
    <t>GERENTE</t>
  </si>
  <si>
    <t>368</t>
  </si>
  <si>
    <t>AF683IS</t>
  </si>
  <si>
    <t>ZL.RANGER DC 4X4 XL 2.2L D</t>
  </si>
  <si>
    <t>MANTENIMIENTO</t>
  </si>
  <si>
    <t>345</t>
  </si>
  <si>
    <t>AF274BL</t>
  </si>
  <si>
    <t>Toyota 4x4 DC SR 2.8MT MY21</t>
  </si>
  <si>
    <t>LOGISTICA / SUPERVISORES / BACK UP</t>
  </si>
  <si>
    <t>354</t>
  </si>
  <si>
    <t>AF403BD</t>
  </si>
  <si>
    <t>Toyota 4x4 DC SR 2.8MT MY22</t>
  </si>
  <si>
    <t>362</t>
  </si>
  <si>
    <t>AF552AW</t>
  </si>
  <si>
    <t>JEFE OPERATIVO</t>
  </si>
  <si>
    <t>367</t>
  </si>
  <si>
    <t>AF683IR</t>
  </si>
  <si>
    <t>401</t>
  </si>
  <si>
    <t>AG369SG</t>
  </si>
  <si>
    <t>FURGON FORD TRANSIT</t>
  </si>
  <si>
    <t>LOGISTICA / FURGON</t>
  </si>
  <si>
    <t>AG748DM</t>
  </si>
  <si>
    <t>HILUX 4X4 DC SR 2.8 TDI 6 M/T</t>
  </si>
  <si>
    <t>433</t>
  </si>
  <si>
    <t>AG841VE</t>
  </si>
  <si>
    <t>RANGER CD XL 2.0L T 4X4 MT D</t>
  </si>
  <si>
    <t>415</t>
  </si>
  <si>
    <t>AG515YH</t>
  </si>
  <si>
    <t>Toyota 4x4 DC SR 2.8MT MY23</t>
  </si>
  <si>
    <t>435</t>
  </si>
  <si>
    <t>AG943MT</t>
  </si>
  <si>
    <t>432</t>
  </si>
  <si>
    <t>AG841VD</t>
  </si>
  <si>
    <t>414</t>
  </si>
  <si>
    <t>AG515YG</t>
  </si>
  <si>
    <t>437</t>
  </si>
  <si>
    <t>AH433WD</t>
  </si>
  <si>
    <t>439</t>
  </si>
  <si>
    <t>AH459BL</t>
  </si>
  <si>
    <t>LOGISTICA / PAÑOL</t>
  </si>
  <si>
    <t>181</t>
  </si>
  <si>
    <t>AB097AV</t>
  </si>
  <si>
    <t>HABILITACION SAN JUAN</t>
  </si>
  <si>
    <t>BAJA DE TMT P/REPARACION</t>
  </si>
  <si>
    <t>278</t>
  </si>
  <si>
    <t>AD786XD</t>
  </si>
  <si>
    <t>284</t>
  </si>
  <si>
    <t>AD786XM</t>
  </si>
  <si>
    <t>Minería</t>
  </si>
  <si>
    <t>288</t>
  </si>
  <si>
    <t>AD786XZ</t>
  </si>
  <si>
    <t>EL CHINGUILLO</t>
  </si>
  <si>
    <t>356</t>
  </si>
  <si>
    <t>AF499WT</t>
  </si>
  <si>
    <t>BAJA DE UMB P/REPARACION</t>
  </si>
  <si>
    <t>357</t>
  </si>
  <si>
    <t>AF552AL</t>
  </si>
  <si>
    <t>358</t>
  </si>
  <si>
    <t>AF552AM</t>
  </si>
  <si>
    <t>NGEX</t>
  </si>
  <si>
    <t>359</t>
  </si>
  <si>
    <t>AF552AK</t>
  </si>
  <si>
    <t>BATIDERO / LA MAJADITA</t>
  </si>
  <si>
    <t>360</t>
  </si>
  <si>
    <t>AF552AU</t>
  </si>
  <si>
    <t>369</t>
  </si>
  <si>
    <t>AF683IT</t>
  </si>
  <si>
    <t>BASE SAN JUAN</t>
  </si>
  <si>
    <t>372</t>
  </si>
  <si>
    <t>AF683IW</t>
  </si>
  <si>
    <t>BAJA DE NGX P/REPARACION</t>
  </si>
  <si>
    <t>402</t>
  </si>
  <si>
    <t>AG054SG</t>
  </si>
  <si>
    <t>BATIDERO / UMB</t>
  </si>
  <si>
    <t>418</t>
  </si>
  <si>
    <t>AG366IX</t>
  </si>
  <si>
    <t>403</t>
  </si>
  <si>
    <t>AG406XJ</t>
  </si>
  <si>
    <t>EQUIPAMIENTO ORUGAS PLAN INVIERNO</t>
  </si>
  <si>
    <t>396</t>
  </si>
  <si>
    <t>AG330JE</t>
  </si>
  <si>
    <t>GUANDACOL</t>
  </si>
  <si>
    <t>409</t>
  </si>
  <si>
    <t>AG445CE</t>
  </si>
  <si>
    <t>CORREDOR NORTE</t>
  </si>
  <si>
    <t>410</t>
  </si>
  <si>
    <t>AG445CF</t>
  </si>
  <si>
    <t>411</t>
  </si>
  <si>
    <t>AG445CG</t>
  </si>
  <si>
    <t>428</t>
  </si>
  <si>
    <t>AG748DK</t>
  </si>
  <si>
    <t>500</t>
  </si>
  <si>
    <t>AH505LG</t>
  </si>
  <si>
    <t>HABILITAR</t>
  </si>
  <si>
    <t>HABILITAR SAN JUAN</t>
  </si>
  <si>
    <t>501</t>
  </si>
  <si>
    <t>AH505LH</t>
  </si>
  <si>
    <t>BATIDERO / FASE 1</t>
  </si>
  <si>
    <t>502</t>
  </si>
  <si>
    <t>AH505LI</t>
  </si>
  <si>
    <t>504</t>
  </si>
  <si>
    <t>AH505LK</t>
  </si>
  <si>
    <t>505</t>
  </si>
  <si>
    <t>AH505LL</t>
  </si>
  <si>
    <t>219</t>
  </si>
  <si>
    <t>AD354ON</t>
  </si>
  <si>
    <t>Toyota 4x4 DC 2.5 TDI</t>
  </si>
  <si>
    <t>355</t>
  </si>
  <si>
    <t>AF457LL</t>
  </si>
  <si>
    <t>LOGISTICA/BATIDERO</t>
  </si>
  <si>
    <t>353</t>
  </si>
  <si>
    <t>AF403BC</t>
  </si>
  <si>
    <t>346</t>
  </si>
  <si>
    <t>AF274BQ</t>
  </si>
  <si>
    <t>LOGISTICA/CAMBIO DE GUARDIA EX NQN</t>
  </si>
  <si>
    <t>385</t>
  </si>
  <si>
    <t>AF977XT</t>
  </si>
  <si>
    <t>LOGISTICA/LUNA HUASI</t>
  </si>
  <si>
    <t>511</t>
  </si>
  <si>
    <t>AH689GG</t>
  </si>
  <si>
    <t>Toyota 4x4 CS SR 2.8MT MY21</t>
  </si>
  <si>
    <t>LOGISTICA/VEHICULO GUIA</t>
  </si>
  <si>
    <t>191</t>
  </si>
  <si>
    <t>AB960ZP</t>
  </si>
  <si>
    <t>Toyota Hilux CC 4x4 2.5 TDI</t>
  </si>
  <si>
    <t>HABILITACION SALTA</t>
  </si>
  <si>
    <t>TRASLADO DE PERSONAL GUEMES</t>
  </si>
  <si>
    <t>AB310SB</t>
  </si>
  <si>
    <t>194</t>
  </si>
  <si>
    <t>AB960ZS</t>
  </si>
  <si>
    <t>FURGON Fiat Ducato Maxicargo 2,3 JTD</t>
  </si>
  <si>
    <t>PAMI TUCUMAN</t>
  </si>
  <si>
    <t>285</t>
  </si>
  <si>
    <t>AD786XN</t>
  </si>
  <si>
    <t>PROYECTO GUEMES</t>
  </si>
  <si>
    <t>281</t>
  </si>
  <si>
    <t>AD786XJ</t>
  </si>
  <si>
    <t>HAB SALTA Y JUJUY</t>
  </si>
  <si>
    <t>Salta/Jujuy</t>
  </si>
  <si>
    <t>279</t>
  </si>
  <si>
    <t>AD786XF</t>
  </si>
  <si>
    <t>PROYECTO PASO DE JAMA</t>
  </si>
  <si>
    <t>AG387QO</t>
  </si>
  <si>
    <t>PROYECTO MARIANA</t>
  </si>
  <si>
    <t>AG387QN</t>
  </si>
  <si>
    <t>397</t>
  </si>
  <si>
    <t>AG330JF</t>
  </si>
  <si>
    <t>PROYECTO PPG</t>
  </si>
  <si>
    <t>503</t>
  </si>
  <si>
    <t>AH505LJ</t>
  </si>
  <si>
    <t>HANNAQ</t>
  </si>
  <si>
    <t>427</t>
  </si>
  <si>
    <t>AG748DJ</t>
  </si>
  <si>
    <t>LOGISTICA - BASE SALTA</t>
  </si>
  <si>
    <t>436</t>
  </si>
  <si>
    <t>AH433WC</t>
  </si>
  <si>
    <t>ANÁLISIS CRUZADO — MÓVILES POR DIMENSIÓN</t>
  </si>
  <si>
    <t>POR AÑO DE PATENTAMIENTO</t>
  </si>
  <si>
    <t>Valor</t>
  </si>
  <si>
    <t>% Disp.</t>
  </si>
  <si>
    <t>POR TIPO DE MÓVIL</t>
  </si>
  <si>
    <t>POR PROVINCIA DE HABILITACIÓN</t>
  </si>
  <si>
    <t>POR MODELO DE VEHÍCULO</t>
  </si>
  <si>
    <t>Toyota Hilux</t>
  </si>
  <si>
    <t>Peugeot Boxer</t>
  </si>
  <si>
    <t>Fiat (Ducato/Strada)</t>
  </si>
  <si>
    <t>Ford Transit</t>
  </si>
  <si>
    <t>MÓVILES POR CLIENTE — MARZO 2026</t>
  </si>
  <si>
    <t>Fórmulas dinámicas — se actualiza al recalcular (F9) tras modificar hoja Datos</t>
  </si>
  <si>
    <t>Región(es)</t>
  </si>
  <si>
    <t>Tipo(s)</t>
  </si>
  <si>
    <t>Años</t>
  </si>
  <si>
    <t>Estado ref.</t>
  </si>
  <si>
    <t>2018–2023</t>
  </si>
  <si>
    <t>VICUÑA</t>
  </si>
  <si>
    <t>LOGISTICA SJ, UTIM SJ</t>
  </si>
  <si>
    <t>AMBULANCIA, LOGISTICA</t>
  </si>
  <si>
    <t>2019–2025</t>
  </si>
  <si>
    <t>DISPONIBLE</t>
  </si>
  <si>
    <t>2017–2023</t>
  </si>
  <si>
    <t>TRASL PERSONAL</t>
  </si>
  <si>
    <t>2022–2024</t>
  </si>
  <si>
    <t>BACK UP GRAL</t>
  </si>
  <si>
    <t>UTIM NQN, UTIM SALTA</t>
  </si>
  <si>
    <t>2019–2024</t>
  </si>
  <si>
    <t>BACK UP YPF / VISTA</t>
  </si>
  <si>
    <t>2023–2024</t>
  </si>
  <si>
    <t>GERENCIAL</t>
  </si>
  <si>
    <t>2021–2025</t>
  </si>
  <si>
    <t>RECAMBIO VICUÑA</t>
  </si>
  <si>
    <t>SUPERVISORES</t>
  </si>
  <si>
    <t>2018–2022</t>
  </si>
  <si>
    <t>GANFENG</t>
  </si>
  <si>
    <t>2019–2023</t>
  </si>
  <si>
    <t>BACKUP</t>
  </si>
  <si>
    <t>UTIM SALTA, UTIM SJ</t>
  </si>
  <si>
    <t>2017</t>
  </si>
  <si>
    <t>TRANS PERSONAL</t>
  </si>
  <si>
    <t>2024–2025</t>
  </si>
  <si>
    <t>REPARACION</t>
  </si>
  <si>
    <t>2022–2023</t>
  </si>
  <si>
    <t>2017–2019</t>
  </si>
  <si>
    <t>BACK UP VICUÑA</t>
  </si>
  <si>
    <t>BACK UP TMT</t>
  </si>
  <si>
    <t>2019</t>
  </si>
  <si>
    <t>BACK UP GANFENG</t>
  </si>
  <si>
    <t>ACONCAGUA</t>
  </si>
  <si>
    <t>BACK UP NGX</t>
  </si>
  <si>
    <t>BACK UP LOGISTICA</t>
  </si>
  <si>
    <t>MSU GREEN</t>
  </si>
  <si>
    <t>INTHEGRA</t>
  </si>
  <si>
    <t>LOGISTICA - TRANSPORTE</t>
  </si>
  <si>
    <t>ENFERMERIA CHOCON</t>
  </si>
  <si>
    <t>FIRST QUANTUM</t>
  </si>
  <si>
    <t>GENNEIA</t>
  </si>
  <si>
    <t>CAPEX</t>
  </si>
  <si>
    <t>PAÑOL</t>
  </si>
  <si>
    <t>PECOM</t>
  </si>
  <si>
    <t>TMT</t>
  </si>
  <si>
    <t>TRASL PERSONAL CAPEX</t>
  </si>
  <si>
    <t>TRASL PERSONAL CIPH</t>
  </si>
  <si>
    <t>VEHICULO GUIA</t>
  </si>
  <si>
    <t>Tipo de negocio</t>
  </si>
  <si>
    <t>YPF R6 Fijas</t>
  </si>
  <si>
    <t>Petroleo+OOD</t>
  </si>
  <si>
    <t>BAU</t>
  </si>
  <si>
    <t>YPF R6 Event</t>
  </si>
  <si>
    <t>YPF Cantera</t>
  </si>
  <si>
    <t>Geopark</t>
  </si>
  <si>
    <t>NN</t>
  </si>
  <si>
    <t>BAU BIS</t>
  </si>
  <si>
    <t>Milicic VMOC</t>
  </si>
  <si>
    <t>Lundin</t>
  </si>
  <si>
    <t>Mineria</t>
  </si>
  <si>
    <t>Rio Tinto</t>
  </si>
  <si>
    <t>HANAQ/Andes Lit</t>
  </si>
  <si>
    <t>Fortescue</t>
  </si>
  <si>
    <t>VESTAS</t>
  </si>
  <si>
    <t>Casposo</t>
  </si>
  <si>
    <t>AGV</t>
  </si>
  <si>
    <t>SESA</t>
  </si>
  <si>
    <t>TECK DISCOVERY</t>
  </si>
  <si>
    <t>GWK MINERALS</t>
  </si>
  <si>
    <t>MCEWEN</t>
  </si>
  <si>
    <t>MINERA SAN JORGE</t>
  </si>
  <si>
    <t>PECOM Chivilcoy</t>
  </si>
  <si>
    <t>INTEGRA RN</t>
  </si>
  <si>
    <t>ENEL/MSU</t>
  </si>
  <si>
    <t>Milicic Obras NOA &amp; Rio negro</t>
  </si>
  <si>
    <t>EPEN</t>
  </si>
  <si>
    <t>PLAN DE COMPRAS — NECESIDADES REALES POR AÑO (PLAN OPERATIVO)</t>
  </si>
  <si>
    <t>Sin optimización · Basado en premisas operativas reales confirmadas · VISTA OIL marcada como condicional (sujeta a licitación)</t>
  </si>
  <si>
    <t>Nº</t>
  </si>
  <si>
    <t>Cliente actual</t>
  </si>
  <si>
    <t>Año Pat.</t>
  </si>
  <si>
    <t>Motivo</t>
  </si>
  <si>
    <t>Acción</t>
  </si>
  <si>
    <t xml:space="preserve">  2026  —  10 compras firmes  +  1 condicional (VISTA, sujeta a licitación)</t>
  </si>
  <si>
    <t>2017 — hab. vencida</t>
  </si>
  <si>
    <t>Comprar reemplazo</t>
  </si>
  <si>
    <t>Vicuña 2019 — vencida (lim 3a)</t>
  </si>
  <si>
    <t>VISTA OIL 2019 — vencida (lim 5a)</t>
  </si>
  <si>
    <t>Comprar si se gana licitación</t>
  </si>
  <si>
    <t xml:space="preserve">  2027  —  2 compras firmes</t>
  </si>
  <si>
    <t>Disponible 2018 — vence 2027 (lim 10a)</t>
  </si>
  <si>
    <t>YPF 2018 — vence 2027 (lim 8a)</t>
  </si>
  <si>
    <t xml:space="preserve">  2028  —  9 compras firmes</t>
  </si>
  <si>
    <t>YPF 2019 — vence 2028 (lim 8a)</t>
  </si>
  <si>
    <t>Renovar</t>
  </si>
  <si>
    <t>TOTAL: 21 compras firmes + 1 condicional = 22 unidades en el trienio 2026–2028</t>
  </si>
  <si>
    <t>SITUACIÓN ESPECIAL — CAMADA 2022</t>
  </si>
  <si>
    <t>AF552AK, AF552AU, AF683IW</t>
  </si>
  <si>
    <t>Ya tienen reemplazo con unidades 2025 (AH505LJ/LK/LL) → se liberan para reasignar a YPF</t>
  </si>
  <si>
    <t>AF499WT, AF552AL</t>
  </si>
  <si>
    <t>REPARACIÓN</t>
  </si>
  <si>
    <t>En reparación → cuando estén listas, se envían a YPF como BackUp o reemplazo directo</t>
  </si>
  <si>
    <t>Vence 2026 → se cubre con las unidades de reparación una vez reparadas (sin compra adicional)</t>
  </si>
  <si>
    <t>RESUMEN EJECUTIVO — NECESIDADES DE COMPRA POR AÑO</t>
  </si>
  <si>
    <t>Compras firmes</t>
  </si>
  <si>
    <t>Condicional</t>
  </si>
  <si>
    <t>Detalle</t>
  </si>
  <si>
    <t>Obs.</t>
  </si>
  <si>
    <t>Firmes</t>
  </si>
  <si>
    <t>9 unidades 2017 + Vicuña 2019 vencida</t>
  </si>
  <si>
    <t>+1 VISTA OIL (condicional licitación)</t>
  </si>
  <si>
    <t>1 YPF 2018 + 1 Disponible 2018</t>
  </si>
  <si>
    <t>9 unidades YPF 2019</t>
  </si>
  <si>
    <t>Pico — planificar adquisición en 2026/2027</t>
  </si>
  <si>
    <t>TOTAL
2026–2028</t>
  </si>
  <si>
    <t>Trienio completo</t>
  </si>
  <si>
    <t>FLOTA UTIM — CUADRO POR AÑO DE PATENTAMIENTO · PLAN OPERATIVO REAL</t>
  </si>
  <si>
    <t>84 UTIM · Plan operativo real según premisas confirmadas · Colores: rojo=compra urgente 2026 · naranja=2027 · amarillo=2028 · amarillo claro=condicional · verde=sin urgencia</t>
  </si>
  <si>
    <t>≤ 2026 — Compra urgente</t>
  </si>
  <si>
    <t>Condicional (licitación)</t>
  </si>
  <si>
    <t>2029–2030</t>
  </si>
  <si>
    <t>2031+ / Sin urgencia</t>
  </si>
  <si>
    <t>Acción especial</t>
  </si>
  <si>
    <t>Año Reposición</t>
  </si>
  <si>
    <t>Acción requerida</t>
  </si>
  <si>
    <t>Motivo / Criterio</t>
  </si>
  <si>
    <t>Prov.</t>
  </si>
  <si>
    <t>Sin acción inmediata</t>
  </si>
  <si>
    <t>Minería 2017 — vence 2021</t>
  </si>
  <si>
    <t>FURGON Fiat Ducato Max</t>
  </si>
  <si>
    <t>Toyota Hilux 4x4 2.5 T</t>
  </si>
  <si>
    <t>Toyota Hilux CC 4x4 2.</t>
  </si>
  <si>
    <t>FURGON BOXER 350 LH 2.</t>
  </si>
  <si>
    <t>OOD 2017 — vence 2028</t>
  </si>
  <si>
    <t>TOYOTA HILUX 4X4 CS DX</t>
  </si>
  <si>
    <t>Petróleo 2019 — vence 2028</t>
  </si>
  <si>
    <t>BackUp 2019 — vence 2030</t>
  </si>
  <si>
    <t>Disponible 2019 — vence 2030</t>
  </si>
  <si>
    <t>Minería 2019 — vence 2023</t>
  </si>
  <si>
    <t>BackUp 2022 — vence 2033</t>
  </si>
  <si>
    <t>YX.NUEVA RANGER CS 4X4</t>
  </si>
  <si>
    <t>Cubrir con reparadas 2022</t>
  </si>
  <si>
    <t>NGEX vence 2026 — cobertura con reparadas</t>
  </si>
  <si>
    <t>TOYOTA HILUX 4X4 CC DX</t>
  </si>
  <si>
    <t>En reparación → ir a YPF (BackUp/reemplazo)</t>
  </si>
  <si>
    <t>YPF O&amp;G cuando se repare</t>
  </si>
  <si>
    <t>Ya reemplazada (AH505L* 2025)</t>
  </si>
  <si>
    <t>Vicuña 2022 — libre para YPF cuando se repare</t>
  </si>
  <si>
    <t>Vicuña 2022 — libre para YPF</t>
  </si>
  <si>
    <t>BackUp 2023 — vence 2034</t>
  </si>
  <si>
    <t>HILUX 4X4 C/S DX 2.4 T</t>
  </si>
  <si>
    <t>Petróleo 2023 — vence 2032</t>
  </si>
  <si>
    <t>Disponible 2023 — vence 2034</t>
  </si>
  <si>
    <t>Verificar</t>
  </si>
  <si>
    <t>Minería 2023 — vence 2027</t>
  </si>
  <si>
    <t>BackUp 2024 — vence 2035</t>
  </si>
  <si>
    <t>Minería 2024 — vence 2028</t>
  </si>
  <si>
    <t>Petróleo 2024 — vence 2033</t>
  </si>
  <si>
    <t>Petróleo 2024 — vence 2030</t>
  </si>
  <si>
    <t>Boxer 350 LH 2.3 HDI C</t>
  </si>
  <si>
    <t>BackUp 2025 — vence 2036</t>
  </si>
  <si>
    <t>OOD 2025 — vence 2036</t>
  </si>
  <si>
    <t>Minería 2025 — vence 2029</t>
  </si>
  <si>
    <t>ANTIGÜEDAD DE FLOTA Y PLAN DE RENOVACIÓN — MARZO 2026</t>
  </si>
  <si>
    <t>Minería: máx. 3 años  ·  Petróleo: máx. 8 años  ·  Año de referencia: 2026</t>
  </si>
  <si>
    <t>UTIM — AMBULANCIAS</t>
  </si>
  <si>
    <t>Sector</t>
  </si>
  <si>
    <t>Años restantes</t>
  </si>
  <si>
    <t>Vencimiento</t>
  </si>
  <si>
    <t>Interno/Disponible</t>
  </si>
  <si>
    <t>Sin límite</t>
  </si>
  <si>
    <t>VENCIDO</t>
  </si>
  <si>
    <t>Vence 2026</t>
  </si>
  <si>
    <t>Vence 2027</t>
  </si>
  <si>
    <t>Vence 2030</t>
  </si>
  <si>
    <t>Vence 2031</t>
  </si>
  <si>
    <t>LOGÍSTICA</t>
  </si>
  <si>
    <t>RESUMEN EJECUTIVO — NECESIDADES DE RENOVACIÓN POR AÑO</t>
  </si>
  <si>
    <t>Flota / Sector</t>
  </si>
  <si>
    <t>Ya vencidos</t>
  </si>
  <si>
    <t>UTIM — Minería</t>
  </si>
  <si>
    <t>UTIM — Petróleo</t>
  </si>
  <si>
    <t>UTIM — Interno/Disponible</t>
  </si>
  <si>
    <t>Logística — Minería</t>
  </si>
  <si>
    <t>Logística — Interno/Disponible</t>
  </si>
  <si>
    <t>OK / sin límite</t>
  </si>
  <si>
    <t>PLAN DE RENOVACIÓN DE FLOTA — AÑO DE REPOSICIÓN REQUERIDO</t>
  </si>
  <si>
    <t>Minería - Vicuña: 3 años  ·  Minería - Otros: 5 años  ·  Petróleo: 8 años  ·  Año de reposición = último año habilitado + 1</t>
  </si>
  <si>
    <t>Minería - Vicuña</t>
  </si>
  <si>
    <t>Minería - Otros</t>
  </si>
  <si>
    <t>DETALLE — MÓVILES CON LÍMITE DE ANTIGÜEDAD (ordenados por año de reposición)</t>
  </si>
  <si>
    <t>Límite</t>
  </si>
  <si>
    <t>Último año</t>
  </si>
  <si>
    <t>Logística</t>
  </si>
  <si>
    <t>UTIM</t>
  </si>
  <si>
    <t>LEYENDA →</t>
  </si>
  <si>
    <t>Vencido / vence 2026</t>
  </si>
  <si>
    <t>Vence 2028</t>
  </si>
  <si>
    <t>2029 en adelante</t>
  </si>
  <si>
    <t>DATOS PARA GRÁFICOS — no modificar</t>
  </si>
  <si>
    <t>SIN OPTIMIZACIÓN</t>
  </si>
  <si>
    <t>O&amp;G</t>
  </si>
  <si>
    <t>BackUp/Disp/OOD</t>
  </si>
  <si>
    <t>CON OPTIMIZACIÓN</t>
  </si>
  <si>
    <t>COMPARACIÓN</t>
  </si>
  <si>
    <t>Sin Opt.</t>
  </si>
  <si>
    <t>Con Opt.</t>
  </si>
  <si>
    <t>TECHINT</t>
  </si>
  <si>
    <t>INTEGRA</t>
  </si>
  <si>
    <t>RANGER DC 4x4 LTD AT 3.2L D</t>
  </si>
  <si>
    <t>RANGER DC 4X4 XL 2.2L D</t>
  </si>
  <si>
    <t>Disponible?</t>
  </si>
  <si>
    <t>Columna1</t>
  </si>
  <si>
    <t>YPF?</t>
  </si>
  <si>
    <t>No es vicuña?</t>
  </si>
  <si>
    <t>No está habilitada?</t>
  </si>
  <si>
    <t>DASHBOARD — ESTADO DE MÓVILES · MAYO 2026</t>
  </si>
  <si>
    <t>Taller</t>
  </si>
  <si>
    <t>Columna2</t>
  </si>
  <si>
    <t>No tiene habilitacion</t>
  </si>
  <si>
    <t>si</t>
  </si>
  <si>
    <t>arreglado</t>
  </si>
  <si>
    <t>Hannaq</t>
  </si>
  <si>
    <t>Subtotal Logística Neuquén</t>
  </si>
  <si>
    <t>Subtotal Logísitca San Juan</t>
  </si>
  <si>
    <t>Subtotal Logística Salta</t>
  </si>
  <si>
    <t>Otros</t>
  </si>
  <si>
    <t>Subtotal Otros</t>
  </si>
  <si>
    <t>Ver.  Esta no estaba identificada en las 8 iniciales.</t>
  </si>
  <si>
    <t>Bajó</t>
  </si>
  <si>
    <t>no está en cliente</t>
  </si>
  <si>
    <t>km</t>
  </si>
  <si>
    <t>Antiguedad_Anios</t>
  </si>
  <si>
    <t>Costo_Mensual</t>
  </si>
  <si>
    <t>TH001</t>
  </si>
  <si>
    <t>Habitacional</t>
  </si>
  <si>
    <t>Trailer 20 pies Standard</t>
  </si>
  <si>
    <t>Si</t>
  </si>
  <si>
    <t>TH002</t>
  </si>
  <si>
    <t>Trailer 30 pies Premium</t>
  </si>
  <si>
    <t>TS001</t>
  </si>
  <si>
    <t>Sanitario</t>
  </si>
  <si>
    <t>Trailer Enfermeria Basico</t>
  </si>
  <si>
    <t>TH003</t>
  </si>
  <si>
    <t>TS002</t>
  </si>
  <si>
    <t>Trailer Consultorio Medico</t>
  </si>
  <si>
    <t>TH004</t>
  </si>
  <si>
    <t>Trailer 25 pies Intermedio</t>
  </si>
  <si>
    <t>No</t>
  </si>
  <si>
    <t>TS003</t>
  </si>
  <si>
    <t>Trailer Consultorio Premium</t>
  </si>
  <si>
    <t>TH005</t>
  </si>
  <si>
    <t>Trailer 35 pies Grande</t>
  </si>
  <si>
    <t>TS004</t>
  </si>
  <si>
    <t>Trailer Quirofano Movil</t>
  </si>
  <si>
    <t>TH006</t>
  </si>
  <si>
    <t>Trailer 40 pies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</si>
</sst>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;\-0;&quot;—&quot;"/>
  </numFmts>
  <fonts count="12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11111"/>
      <name val="Arial"/>
      <family val="2"/>
    </font>
    <font>
      <b/>
      <sz val="10"/>
      <color rgb="FF2F75B6"/>
      <name val="Arial"/>
      <family val="2"/>
    </font>
    <font>
      <b/>
      <sz val="10"/>
      <color rgb="FF1A7A4A"/>
      <name val="Arial"/>
      <family val="2"/>
    </font>
    <font>
      <b/>
      <sz val="10"/>
      <color rgb="FFB87800"/>
      <name val="Arial"/>
      <family val="2"/>
    </font>
    <font>
      <b/>
      <sz val="10"/>
      <color rgb="FFC00000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24"/>
      <color rgb="FF1F3864"/>
      <name val="Arial"/>
      <family val="2"/>
    </font>
    <font>
      <i/>
      <sz val="9"/>
      <color rgb="FF606060"/>
      <name val="Arial"/>
      <family val="2"/>
    </font>
    <font>
      <b/>
      <sz val="24"/>
      <color rgb="FF2F75B6"/>
      <name val="Arial"/>
      <family val="2"/>
    </font>
    <font>
      <b/>
      <sz val="24"/>
      <color rgb="FF1A7A4A"/>
      <name val="Arial"/>
      <family val="2"/>
    </font>
    <font>
      <b/>
      <sz val="24"/>
      <color rgb="FFB87800"/>
      <name val="Arial"/>
      <family val="2"/>
    </font>
    <font>
      <sz val="10"/>
      <color rgb="FFC00000"/>
      <name val="Arial"/>
      <family val="2"/>
    </font>
    <font>
      <b/>
      <sz val="10"/>
      <color rgb="FF111111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5B2A8C"/>
      <name val="Arial"/>
      <family val="2"/>
    </font>
    <font>
      <b/>
      <sz val="13"/>
      <color rgb="FFFFFFFF"/>
      <name val="Arial"/>
      <family val="2"/>
    </font>
    <font>
      <i/>
      <sz val="10"/>
      <color rgb="FF444444"/>
      <name val="Arial"/>
      <family val="2"/>
    </font>
    <font>
      <b/>
      <sz val="11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111111"/>
      <name val="Arial"/>
      <family val="2"/>
    </font>
    <font>
      <b/>
      <sz val="9"/>
      <color rgb="FF404040"/>
      <name val="Arial"/>
      <family val="2"/>
    </font>
    <font>
      <b/>
      <sz val="9"/>
      <color rgb="FF1A7A4A"/>
      <name val="Arial"/>
      <family val="2"/>
    </font>
    <font>
      <b/>
      <sz val="9"/>
      <color rgb="FFB87800"/>
      <name val="Arial"/>
      <family val="2"/>
    </font>
    <font>
      <b/>
      <sz val="9"/>
      <color rgb="FFC00000"/>
      <name val="Arial"/>
      <family val="2"/>
    </font>
    <font>
      <b/>
      <sz val="9"/>
      <color rgb="FF2F75B6"/>
      <name val="Arial"/>
      <family val="2"/>
    </font>
    <font>
      <b/>
      <sz val="9"/>
      <color rgb="FFC55A11"/>
      <name val="Arial"/>
      <family val="2"/>
    </font>
    <font>
      <sz val="9"/>
      <color rgb="FFAAAAAA"/>
      <name val="Arial"/>
      <family val="2"/>
    </font>
    <font>
      <i/>
      <sz val="9"/>
      <color rgb="FF444444"/>
      <name val="Arial"/>
      <family val="2"/>
    </font>
    <font>
      <b/>
      <sz val="9"/>
      <color rgb="FF5B2A8C"/>
      <name val="Arial"/>
      <family val="2"/>
    </font>
    <font>
      <sz val="9"/>
      <color rgb="FFBBBBBB"/>
      <name val="Arial"/>
      <family val="2"/>
    </font>
    <font>
      <b/>
      <sz val="9"/>
      <color rgb="FF1F7A8C"/>
      <name val="Arial"/>
      <family val="2"/>
    </font>
    <font>
      <b/>
      <sz val="9"/>
      <color rgb="FF2F75B6"/>
      <name val="Arial"/>
    </font>
    <font>
      <b/>
      <sz val="9"/>
      <color rgb="FF404040"/>
      <name val="Arial"/>
    </font>
    <font>
      <b/>
      <sz val="9"/>
      <color rgb="FF1F3864"/>
      <name val="Arial"/>
    </font>
    <font>
      <b/>
      <sz val="9"/>
      <color rgb="FFC00000"/>
      <name val="Arial"/>
    </font>
    <font>
      <b/>
      <sz val="9"/>
      <color rgb="FF1A7A4A"/>
      <name val="Arial"/>
    </font>
    <font>
      <sz val="9"/>
      <color rgb="FF111111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i/>
      <sz val="9"/>
      <color rgb="FF444444"/>
      <name val="Arial"/>
    </font>
    <font>
      <b/>
      <sz val="11"/>
      <color rgb="FF1F3864"/>
      <name val="Arial"/>
    </font>
    <font>
      <b/>
      <sz val="12"/>
      <color rgb="FFFFFFFF"/>
      <name val="Arial"/>
    </font>
    <font>
      <b/>
      <sz val="12"/>
      <color rgb="FFB87800"/>
      <name val="Arial"/>
    </font>
    <font>
      <b/>
      <sz val="9"/>
      <color rgb="FFB87800"/>
      <name val="Arial"/>
    </font>
    <font>
      <b/>
      <sz val="12"/>
      <color rgb="FF4A4A4A"/>
      <name val="Arial"/>
    </font>
    <font>
      <sz val="9"/>
      <color rgb="FF4A4A4A"/>
      <name val="Arial"/>
    </font>
    <font>
      <b/>
      <sz val="12"/>
      <color rgb="FFC55A11"/>
      <name val="Arial"/>
    </font>
    <font>
      <b/>
      <sz val="9"/>
      <color rgb="FFC55A11"/>
      <name val="Arial"/>
    </font>
    <font>
      <b/>
      <sz val="12"/>
      <color rgb="FF5B2A8C"/>
      <name val="Arial"/>
    </font>
    <font>
      <sz val="9"/>
      <color rgb="FF5B2A8C"/>
      <name val="Arial"/>
    </font>
    <font>
      <b/>
      <sz val="12"/>
      <color rgb="FF1F7A8C"/>
      <name val="Arial"/>
    </font>
    <font>
      <sz val="9"/>
      <color rgb="FF1F7A8C"/>
      <name val="Arial"/>
    </font>
    <font>
      <b/>
      <sz val="12"/>
      <color rgb="FFC00000"/>
      <name val="Arial"/>
    </font>
    <font>
      <b/>
      <sz val="12"/>
      <color rgb="FF1A7A4A"/>
      <name val="Arial"/>
    </font>
    <font>
      <sz val="9"/>
      <color rgb="FF1A7A4A"/>
      <name val="Arial"/>
    </font>
    <font>
      <b/>
      <sz val="11"/>
      <color rgb="FFFFFFFF"/>
      <name val="Arial"/>
    </font>
    <font>
      <b/>
      <sz val="9"/>
      <color rgb="FF4A4A4A"/>
      <name val="Arial"/>
    </font>
    <font>
      <b/>
      <sz val="10"/>
      <color rgb="FFC55A11"/>
      <name val="Arial"/>
    </font>
    <font>
      <b/>
      <sz val="10"/>
      <color rgb="FFB87800"/>
      <name val="Arial"/>
    </font>
    <font>
      <b/>
      <sz val="10"/>
      <color rgb="FF1A7A4A"/>
      <name val="Arial"/>
    </font>
    <font>
      <b/>
      <sz val="9"/>
      <color rgb="FF1F7A8C"/>
      <name val="Arial"/>
    </font>
    <font>
      <b/>
      <sz val="10"/>
      <color rgb="FFFFFFFF"/>
      <name val="Arial"/>
    </font>
    <font>
      <b/>
      <sz val="10"/>
      <color rgb="FF1F7A8C"/>
      <name val="Arial"/>
    </font>
    <font>
      <b/>
      <sz val="9"/>
      <color rgb="FF5B2A8C"/>
      <name val="Arial"/>
    </font>
    <font>
      <b/>
      <sz val="10"/>
      <color rgb="FFC00000"/>
      <name val="Arial"/>
    </font>
    <font>
      <b/>
      <sz val="10"/>
      <color rgb="FF5B2A8C"/>
      <name val="Arial"/>
    </font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9"/>
      <color rgb="FFFFFFFF"/>
      <name val="Arial"/>
      <charset val="1"/>
    </font>
    <font>
      <b/>
      <sz val="11"/>
      <color rgb="FFC00000"/>
      <name val="Arial"/>
      <charset val="1"/>
    </font>
    <font>
      <b/>
      <sz val="9"/>
      <color rgb="FFC00000"/>
      <name val="Arial"/>
      <charset val="1"/>
    </font>
    <font>
      <sz val="9"/>
      <color rgb="FF111111"/>
      <name val="Arial"/>
      <charset val="1"/>
    </font>
    <font>
      <b/>
      <sz val="9"/>
      <color rgb="FF111111"/>
      <name val="Arial"/>
      <charset val="1"/>
    </font>
    <font>
      <b/>
      <sz val="9"/>
      <color rgb="FFB87800"/>
      <name val="Arial"/>
      <charset val="1"/>
    </font>
    <font>
      <b/>
      <sz val="8.5"/>
      <color rgb="FFC00000"/>
      <name val="Arial"/>
      <charset val="1"/>
    </font>
    <font>
      <b/>
      <sz val="9"/>
      <color rgb="FF1F7A8C"/>
      <name val="Arial"/>
      <charset val="1"/>
    </font>
    <font>
      <b/>
      <sz val="9"/>
      <color rgb="FF5B2A8C"/>
      <name val="Arial"/>
      <charset val="1"/>
    </font>
    <font>
      <b/>
      <sz val="9"/>
      <color rgb="FF2F75B6"/>
      <name val="Arial"/>
      <charset val="1"/>
    </font>
    <font>
      <b/>
      <sz val="8.5"/>
      <color rgb="FFB87800"/>
      <name val="Arial"/>
      <charset val="1"/>
    </font>
    <font>
      <b/>
      <sz val="11"/>
      <color rgb="FFC55A11"/>
      <name val="Arial"/>
      <charset val="1"/>
    </font>
    <font>
      <b/>
      <sz val="9"/>
      <color rgb="FFC55A11"/>
      <name val="Arial"/>
      <charset val="1"/>
    </font>
    <font>
      <b/>
      <sz val="11"/>
      <color rgb="FFB87800"/>
      <name val="Arial"/>
      <charset val="1"/>
    </font>
    <font>
      <b/>
      <sz val="11"/>
      <color rgb="FFFFFFFF"/>
      <name val="Arial"/>
      <charset val="1"/>
    </font>
    <font>
      <b/>
      <sz val="10"/>
      <color rgb="FF1F7A8C"/>
      <name val="Arial"/>
      <charset val="1"/>
    </font>
    <font>
      <b/>
      <sz val="8.5"/>
      <color rgb="FF1A7A4A"/>
      <name val="Arial"/>
      <charset val="1"/>
    </font>
    <font>
      <sz val="8.5"/>
      <color rgb="FF1A7A4A"/>
      <name val="Arial"/>
      <charset val="1"/>
    </font>
    <font>
      <sz val="8.5"/>
      <color rgb="FFB87800"/>
      <name val="Arial"/>
      <charset val="1"/>
    </font>
    <font>
      <b/>
      <sz val="13"/>
      <color rgb="FF595959"/>
      <name val="Arial"/>
      <charset val="1"/>
    </font>
    <font>
      <b/>
      <sz val="13"/>
      <color rgb="FFC00000"/>
      <name val="Arial"/>
      <charset val="1"/>
    </font>
    <font>
      <sz val="9"/>
      <color rgb="FF595959"/>
      <name val="Arial"/>
      <charset val="1"/>
    </font>
    <font>
      <sz val="9"/>
      <color rgb="FFC55A11"/>
      <name val="Arial"/>
      <charset val="1"/>
    </font>
    <font>
      <b/>
      <sz val="10"/>
      <color rgb="FFFFFFFF"/>
      <name val="Arial"/>
      <charset val="1"/>
    </font>
    <font>
      <b/>
      <sz val="8"/>
      <color rgb="FFC00000"/>
      <name val="Arial"/>
      <charset val="1"/>
    </font>
    <font>
      <b/>
      <sz val="8"/>
      <color rgb="FFC55A11"/>
      <name val="Arial"/>
      <charset val="1"/>
    </font>
    <font>
      <b/>
      <sz val="8"/>
      <color rgb="FFB87800"/>
      <name val="Arial"/>
      <charset val="1"/>
    </font>
    <font>
      <b/>
      <sz val="8"/>
      <color rgb="FF1A7A4A"/>
      <name val="Arial"/>
      <charset val="1"/>
    </font>
    <font>
      <b/>
      <sz val="8"/>
      <color rgb="FF1F7A8C"/>
      <name val="Arial"/>
      <charset val="1"/>
    </font>
    <font>
      <b/>
      <sz val="8.5"/>
      <color rgb="FF595959"/>
      <name val="Arial"/>
      <charset val="1"/>
    </font>
    <font>
      <i/>
      <sz val="8.5"/>
      <color rgb="FF595959"/>
      <name val="Arial"/>
      <charset val="1"/>
    </font>
    <font>
      <b/>
      <sz val="9"/>
      <color rgb="FF595959"/>
      <name val="Arial"/>
      <charset val="1"/>
    </font>
    <font>
      <b/>
      <sz val="9"/>
      <color rgb="FF1A7A4A"/>
      <name val="Arial"/>
      <charset val="1"/>
    </font>
    <font>
      <b/>
      <sz val="8.5"/>
      <color rgb="FF1F7A8C"/>
      <name val="Arial"/>
      <charset val="1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A7A4A"/>
      <name val="Arial"/>
      <charset val="1"/>
    </font>
    <font>
      <sz val="9"/>
      <color rgb="FFCCCCCC"/>
      <name val="Arial"/>
      <charset val="1"/>
    </font>
    <font>
      <b/>
      <sz val="10"/>
      <color rgb="FFC55A11"/>
      <name val="Arial"/>
      <charset val="1"/>
    </font>
    <font>
      <b/>
      <sz val="10"/>
      <color rgb="FFB87800"/>
      <name val="Arial"/>
      <charset val="1"/>
    </font>
    <font>
      <b/>
      <sz val="10"/>
      <color rgb="FF5B2A8C"/>
      <name val="Arial"/>
      <charset val="1"/>
    </font>
    <font>
      <b/>
      <sz val="10"/>
      <color rgb="FFC00000"/>
      <name val="Arial"/>
      <charset val="1"/>
    </font>
    <font>
      <b/>
      <sz val="10"/>
      <color rgb="FF2F75B6"/>
      <name val="Arial"/>
      <charset val="1"/>
    </font>
    <font>
      <b/>
      <sz val="9"/>
      <color rgb="FF1F3864"/>
      <name val="Arial"/>
      <charset val="1"/>
    </font>
    <font>
      <sz val="10"/>
      <color rgb="FF111111"/>
      <name val="Arial"/>
    </font>
    <font>
      <b/>
      <sz val="10"/>
      <color rgb="FF2F75B6"/>
      <name val="Arial"/>
    </font>
    <font>
      <b/>
      <sz val="11"/>
      <color rgb="FFFFFFFF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B87800"/>
      </patternFill>
    </fill>
    <fill>
      <patternFill patternType="solid">
        <fgColor rgb="FFD6E4F7"/>
      </patternFill>
    </fill>
    <fill>
      <patternFill patternType="solid">
        <fgColor rgb="FFF5F5F5"/>
      </patternFill>
    </fill>
    <fill>
      <patternFill patternType="solid">
        <fgColor rgb="FFFFDCE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1F3864"/>
      </patternFill>
    </fill>
    <fill>
      <patternFill patternType="solid">
        <fgColor rgb="FF1A7A4A"/>
      </patternFill>
    </fill>
    <fill>
      <patternFill patternType="solid">
        <fgColor rgb="FFEEF3FB"/>
      </patternFill>
    </fill>
    <fill>
      <patternFill patternType="solid">
        <fgColor rgb="FF2F75B6"/>
      </patternFill>
    </fill>
    <fill>
      <patternFill patternType="solid">
        <fgColor rgb="FF1F7A8C"/>
      </patternFill>
    </fill>
    <fill>
      <patternFill patternType="solid">
        <fgColor rgb="FF5B2A8C"/>
      </patternFill>
    </fill>
    <fill>
      <patternFill patternType="solid">
        <fgColor rgb="FF4A4A4A"/>
      </patternFill>
    </fill>
    <fill>
      <patternFill patternType="solid">
        <fgColor rgb="FFE8EEF6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0EBF9"/>
      </patternFill>
    </fill>
    <fill>
      <patternFill patternType="solid">
        <fgColor rgb="FFD6EEF2"/>
      </patternFill>
    </fill>
    <fill>
      <patternFill patternType="solid">
        <fgColor rgb="FF1F3864"/>
        <bgColor rgb="FF404040"/>
      </patternFill>
    </fill>
    <fill>
      <patternFill patternType="solid">
        <fgColor rgb="FFD6E4F7"/>
        <bgColor rgb="FFD6EEF2"/>
      </patternFill>
    </fill>
    <fill>
      <patternFill patternType="solid">
        <fgColor rgb="FFFFDCE0"/>
        <bgColor rgb="FFFCE4D6"/>
      </patternFill>
    </fill>
    <fill>
      <patternFill patternType="solid">
        <fgColor rgb="FFF2F4F7"/>
        <bgColor rgb="FFF0EBF9"/>
      </patternFill>
    </fill>
    <fill>
      <patternFill patternType="solid">
        <fgColor rgb="FFFFF2CC"/>
        <bgColor rgb="FFFFF3CD"/>
      </patternFill>
    </fill>
    <fill>
      <patternFill patternType="solid">
        <fgColor rgb="FFFFFFFF"/>
        <bgColor rgb="FFF2F4F7"/>
      </patternFill>
    </fill>
    <fill>
      <patternFill patternType="solid">
        <fgColor rgb="FFD6EEF2"/>
        <bgColor rgb="FFD6E4F7"/>
      </patternFill>
    </fill>
    <fill>
      <patternFill patternType="solid">
        <fgColor rgb="FFF0EBF9"/>
        <bgColor rgb="FFF2F4F7"/>
      </patternFill>
    </fill>
    <fill>
      <patternFill patternType="solid">
        <fgColor rgb="FFFFF3CD"/>
        <bgColor rgb="FFFFF2CC"/>
      </patternFill>
    </fill>
    <fill>
      <patternFill patternType="solid">
        <fgColor rgb="FFFCE4D6"/>
        <bgColor rgb="FFFFDCE0"/>
      </patternFill>
    </fill>
    <fill>
      <patternFill patternType="solid">
        <fgColor rgb="FFE2EFDA"/>
        <bgColor rgb="FFD6EEF2"/>
      </patternFill>
    </fill>
    <fill>
      <patternFill patternType="solid">
        <fgColor theme="6" tint="0.39997558519241921"/>
        <bgColor rgb="FFF0EBF9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444444"/>
      </patternFill>
    </fill>
    <fill>
      <patternFill patternType="solid">
        <fgColor rgb="FF1F7A8C"/>
        <bgColor rgb="FF2F75B6"/>
      </patternFill>
    </fill>
    <fill>
      <patternFill patternType="solid">
        <fgColor rgb="FF5B2A8C"/>
        <bgColor rgb="FF444444"/>
      </patternFill>
    </fill>
    <fill>
      <patternFill patternType="solid">
        <fgColor rgb="FFF0EBF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F75B6"/>
        <bgColor rgb="FF1F7A8C"/>
      </patternFill>
    </fill>
    <fill>
      <patternFill patternType="solid">
        <fgColor rgb="FFFF0000"/>
        <bgColor indexed="64"/>
      </patternFill>
    </fill>
    <fill>
      <patternFill patternType="solid">
        <fgColor rgb="FFD6EEF2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theme="0"/>
        <bgColor rgb="FFF0EBF9"/>
      </patternFill>
    </fill>
    <fill>
      <patternFill patternType="solid">
        <fgColor rgb="FFED7D31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90A8"/>
      </left>
      <right style="medium">
        <color rgb="FF8090A8"/>
      </right>
      <top style="medium">
        <color rgb="FF8090A8"/>
      </top>
      <bottom style="medium">
        <color rgb="FF8090A8"/>
      </bottom>
      <diagonal/>
    </border>
    <border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  <border>
      <left style="thin">
        <color rgb="FFC8D0DA"/>
      </left>
      <right style="thin">
        <color rgb="FFC8D0DA"/>
      </right>
      <top style="thin">
        <color rgb="FFC8D0DA"/>
      </top>
      <bottom style="medium">
        <color rgb="FF404040"/>
      </bottom>
      <diagonal/>
    </border>
    <border>
      <left style="thin">
        <color rgb="FFC8D0DA"/>
      </left>
      <right/>
      <top style="thin">
        <color rgb="FFC8D0DA"/>
      </top>
      <bottom style="thin">
        <color rgb="FFC8D0DA"/>
      </bottom>
      <diagonal/>
    </border>
    <border>
      <left style="thin">
        <color rgb="FFC8D0DA"/>
      </left>
      <right style="thin">
        <color rgb="FFC8D0DA"/>
      </right>
      <top style="thin">
        <color rgb="FFC8D0DA"/>
      </top>
      <bottom/>
      <diagonal/>
    </border>
    <border>
      <left style="medium">
        <color indexed="64"/>
      </left>
      <right style="thin">
        <color rgb="FFC8D0DA"/>
      </right>
      <top style="medium">
        <color indexed="64"/>
      </top>
      <bottom style="thin">
        <color rgb="FFC8D0DA"/>
      </bottom>
      <diagonal/>
    </border>
    <border>
      <left style="thin">
        <color rgb="FFC8D0DA"/>
      </left>
      <right style="thin">
        <color rgb="FFC8D0DA"/>
      </right>
      <top style="medium">
        <color indexed="64"/>
      </top>
      <bottom style="thin">
        <color rgb="FFC8D0DA"/>
      </bottom>
      <diagonal/>
    </border>
    <border>
      <left style="thin">
        <color rgb="FFC8D0DA"/>
      </left>
      <right style="medium">
        <color indexed="64"/>
      </right>
      <top style="medium">
        <color indexed="64"/>
      </top>
      <bottom style="thin">
        <color rgb="FFC8D0DA"/>
      </bottom>
      <diagonal/>
    </border>
    <border>
      <left style="medium">
        <color indexed="64"/>
      </left>
      <right style="thin">
        <color rgb="FFC8D0DA"/>
      </right>
      <top style="thin">
        <color rgb="FFC8D0DA"/>
      </top>
      <bottom style="thin">
        <color rgb="FFC8D0DA"/>
      </bottom>
      <diagonal/>
    </border>
    <border>
      <left style="thin">
        <color rgb="FFC8D0DA"/>
      </left>
      <right style="medium">
        <color indexed="64"/>
      </right>
      <top style="thin">
        <color rgb="FFC8D0DA"/>
      </top>
      <bottom style="thin">
        <color rgb="FFC8D0DA"/>
      </bottom>
      <diagonal/>
    </border>
    <border>
      <left style="medium">
        <color indexed="64"/>
      </left>
      <right style="thin">
        <color rgb="FFC8D0DA"/>
      </right>
      <top style="thin">
        <color rgb="FFC8D0DA"/>
      </top>
      <bottom style="medium">
        <color indexed="64"/>
      </bottom>
      <diagonal/>
    </border>
    <border>
      <left style="thin">
        <color rgb="FFC8D0DA"/>
      </left>
      <right style="thin">
        <color rgb="FFC8D0DA"/>
      </right>
      <top style="thin">
        <color rgb="FFC8D0DA"/>
      </top>
      <bottom style="medium">
        <color indexed="64"/>
      </bottom>
      <diagonal/>
    </border>
    <border>
      <left style="thin">
        <color rgb="FFC8D0DA"/>
      </left>
      <right style="medium">
        <color indexed="64"/>
      </right>
      <top style="thin">
        <color rgb="FFC8D0DA"/>
      </top>
      <bottom style="medium">
        <color indexed="64"/>
      </bottom>
      <diagonal/>
    </border>
    <border>
      <left style="thin">
        <color rgb="FFC8D0DA"/>
      </left>
      <right style="thin">
        <color rgb="FFC8D0DA"/>
      </right>
      <top/>
      <bottom/>
      <diagonal/>
    </border>
    <border>
      <left style="thin">
        <color rgb="FFC8D0DA"/>
      </left>
      <right style="thin">
        <color rgb="FFC8D0DA"/>
      </right>
      <top/>
      <bottom style="thin">
        <color rgb="FFC8D0DA"/>
      </bottom>
      <diagonal/>
    </border>
    <border>
      <left style="thin">
        <color rgb="FFC8D0DA"/>
      </left>
      <right style="thin">
        <color rgb="FFC8D0DA"/>
      </right>
      <top style="thin">
        <color rgb="FFC8D0DA"/>
      </top>
      <bottom style="medium">
        <color rgb="FF1F3864"/>
      </bottom>
      <diagonal/>
    </border>
    <border>
      <left style="thin">
        <color rgb="FFC8D0DA"/>
      </left>
      <right/>
      <top style="thin">
        <color rgb="FFC8D0DA"/>
      </top>
      <bottom style="medium">
        <color rgb="FF1F3864"/>
      </bottom>
      <diagonal/>
    </border>
    <border>
      <left style="medium">
        <color rgb="FF1F3864"/>
      </left>
      <right style="thin">
        <color rgb="FFC8D0DA"/>
      </right>
      <top style="thin">
        <color rgb="FFC8D0DA"/>
      </top>
      <bottom style="thin">
        <color rgb="FFC8D0DA"/>
      </bottom>
      <diagonal/>
    </border>
    <border>
      <left/>
      <right style="thin">
        <color rgb="FFC8D0DA"/>
      </right>
      <top style="thin">
        <color rgb="FFC8D0DA"/>
      </top>
      <bottom style="thin">
        <color rgb="FFC8D0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D0DA"/>
      </left>
      <right/>
      <top style="thin">
        <color rgb="FFC8D0DA"/>
      </top>
      <bottom style="medium">
        <color rgb="FF404040"/>
      </bottom>
      <diagonal/>
    </border>
    <border>
      <left style="thin">
        <color rgb="FFC8D0DA"/>
      </left>
      <right/>
      <top style="medium">
        <color indexed="64"/>
      </top>
      <bottom style="thin">
        <color rgb="FFC8D0DA"/>
      </bottom>
      <diagonal/>
    </border>
    <border>
      <left style="thin">
        <color rgb="FFC8D0DA"/>
      </left>
      <right/>
      <top style="thin">
        <color rgb="FFC8D0DA"/>
      </top>
      <bottom style="medium">
        <color indexed="64"/>
      </bottom>
      <diagonal/>
    </border>
    <border>
      <left/>
      <right style="thin">
        <color rgb="FFC8D0DA"/>
      </right>
      <top style="thin">
        <color rgb="FFC8D0DA"/>
      </top>
      <bottom style="medium">
        <color rgb="FF404040"/>
      </bottom>
      <diagonal/>
    </border>
    <border>
      <left/>
      <right/>
      <top style="thin">
        <color rgb="FFC8D0DA"/>
      </top>
      <bottom style="medium">
        <color rgb="FF404040"/>
      </bottom>
      <diagonal/>
    </border>
    <border>
      <left/>
      <right style="thin">
        <color rgb="FFC8D0DA"/>
      </right>
      <top style="medium">
        <color indexed="64"/>
      </top>
      <bottom style="thin">
        <color rgb="FFC8D0DA"/>
      </bottom>
      <diagonal/>
    </border>
    <border>
      <left/>
      <right style="thin">
        <color rgb="FFC8D0DA"/>
      </right>
      <top style="thin">
        <color rgb="FFC8D0DA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C8D0DA"/>
      </bottom>
      <diagonal/>
    </border>
    <border>
      <left/>
      <right/>
      <top style="thin">
        <color rgb="FFC8D0DA"/>
      </top>
      <bottom style="thin">
        <color rgb="FFC8D0DA"/>
      </bottom>
      <diagonal/>
    </border>
    <border>
      <left/>
      <right/>
      <top style="thin">
        <color rgb="FFC8D0DA"/>
      </top>
      <bottom style="medium">
        <color indexed="64"/>
      </bottom>
      <diagonal/>
    </border>
    <border>
      <left style="thin">
        <color rgb="FFC8D0DA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C8D0DA"/>
      </right>
      <top/>
      <bottom style="thin">
        <color rgb="FFC8D0DA"/>
      </bottom>
      <diagonal/>
    </border>
    <border>
      <left style="thin">
        <color rgb="FFC8D0DA"/>
      </left>
      <right style="medium">
        <color indexed="64"/>
      </right>
      <top/>
      <bottom style="thin">
        <color rgb="FFC8D0DA"/>
      </bottom>
      <diagonal/>
    </border>
  </borders>
  <cellStyleXfs count="2">
    <xf numFmtId="0" fontId="0" fillId="0" borderId="0"/>
    <xf numFmtId="0" fontId="71" fillId="0" borderId="0"/>
  </cellStyleXfs>
  <cellXfs count="405">
    <xf numFmtId="0" fontId="0" fillId="0" borderId="0" xfId="0"/>
    <xf numFmtId="164" fontId="1" fillId="2" borderId="0" xfId="0" applyNumberFormat="1" applyFont="1" applyFill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2" fillId="9" borderId="0" xfId="0" applyFont="1" applyFill="1"/>
    <xf numFmtId="0" fontId="42" fillId="9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2" fillId="10" borderId="0" xfId="0" applyFont="1" applyFill="1"/>
    <xf numFmtId="0" fontId="42" fillId="10" borderId="1" xfId="0" applyFont="1" applyFill="1" applyBorder="1" applyAlignment="1">
      <alignment horizontal="center" vertical="center" wrapText="1"/>
    </xf>
    <xf numFmtId="0" fontId="42" fillId="9" borderId="3" xfId="0" applyFont="1" applyFill="1" applyBorder="1" applyAlignment="1">
      <alignment horizontal="center" vertical="center" wrapText="1"/>
    </xf>
    <xf numFmtId="0" fontId="45" fillId="16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6" fillId="17" borderId="4" xfId="0" applyFont="1" applyFill="1" applyBorder="1" applyAlignment="1">
      <alignment horizontal="center" vertical="center"/>
    </xf>
    <xf numFmtId="0" fontId="42" fillId="17" borderId="4" xfId="0" applyFont="1" applyFill="1" applyBorder="1" applyAlignment="1">
      <alignment horizontal="left" vertical="center"/>
    </xf>
    <xf numFmtId="0" fontId="47" fillId="18" borderId="4" xfId="0" applyFont="1" applyFill="1" applyBorder="1" applyAlignment="1">
      <alignment horizontal="center" vertical="center"/>
    </xf>
    <xf numFmtId="0" fontId="48" fillId="18" borderId="4" xfId="0" applyFont="1" applyFill="1" applyBorder="1" applyAlignment="1">
      <alignment horizontal="left" vertical="center"/>
    </xf>
    <xf numFmtId="0" fontId="49" fillId="4" borderId="4" xfId="0" applyFont="1" applyFill="1" applyBorder="1" applyAlignment="1">
      <alignment horizontal="center" vertical="center"/>
    </xf>
    <xf numFmtId="0" fontId="50" fillId="4" borderId="4" xfId="0" applyFont="1" applyFill="1" applyBorder="1" applyAlignment="1">
      <alignment horizontal="left" vertical="center"/>
    </xf>
    <xf numFmtId="0" fontId="51" fillId="19" borderId="4" xfId="0" applyFont="1" applyFill="1" applyBorder="1" applyAlignment="1">
      <alignment horizontal="center" vertical="center"/>
    </xf>
    <xf numFmtId="0" fontId="52" fillId="19" borderId="4" xfId="0" applyFont="1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53" fillId="20" borderId="4" xfId="0" applyFont="1" applyFill="1" applyBorder="1" applyAlignment="1">
      <alignment horizontal="center" vertical="center"/>
    </xf>
    <xf numFmtId="0" fontId="54" fillId="20" borderId="4" xfId="0" applyFont="1" applyFill="1" applyBorder="1" applyAlignment="1">
      <alignment horizontal="left" vertical="center"/>
    </xf>
    <xf numFmtId="0" fontId="55" fillId="21" borderId="4" xfId="0" applyFont="1" applyFill="1" applyBorder="1" applyAlignment="1">
      <alignment horizontal="center" vertical="center"/>
    </xf>
    <xf numFmtId="0" fontId="56" fillId="21" borderId="4" xfId="0" applyFont="1" applyFill="1" applyBorder="1" applyAlignment="1">
      <alignment horizontal="left" vertical="center"/>
    </xf>
    <xf numFmtId="0" fontId="57" fillId="5" borderId="4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left" vertical="center"/>
    </xf>
    <xf numFmtId="0" fontId="58" fillId="6" borderId="4" xfId="0" applyFont="1" applyFill="1" applyBorder="1" applyAlignment="1">
      <alignment horizontal="center" vertical="center"/>
    </xf>
    <xf numFmtId="0" fontId="59" fillId="6" borderId="4" xfId="0" applyFont="1" applyFill="1" applyBorder="1" applyAlignment="1">
      <alignment horizontal="left" vertical="center"/>
    </xf>
    <xf numFmtId="0" fontId="60" fillId="9" borderId="3" xfId="0" applyFont="1" applyFill="1" applyBorder="1" applyAlignment="1">
      <alignment horizontal="center" vertical="center"/>
    </xf>
    <xf numFmtId="0" fontId="61" fillId="4" borderId="0" xfId="0" applyFont="1" applyFill="1" applyAlignment="1">
      <alignment horizontal="left" vertical="center"/>
    </xf>
    <xf numFmtId="0" fontId="39" fillId="5" borderId="4" xfId="0" applyFont="1" applyFill="1" applyBorder="1" applyAlignment="1">
      <alignment horizontal="center" vertical="center"/>
    </xf>
    <xf numFmtId="0" fontId="52" fillId="19" borderId="4" xfId="0" applyFont="1" applyFill="1" applyBorder="1" applyAlignment="1">
      <alignment horizontal="center" vertical="center"/>
    </xf>
    <xf numFmtId="0" fontId="48" fillId="18" borderId="4" xfId="0" applyFont="1" applyFill="1" applyBorder="1" applyAlignment="1">
      <alignment horizontal="center" vertical="center"/>
    </xf>
    <xf numFmtId="0" fontId="42" fillId="17" borderId="4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17" borderId="3" xfId="0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center" vertical="center"/>
    </xf>
    <xf numFmtId="0" fontId="52" fillId="19" borderId="3" xfId="0" applyFont="1" applyFill="1" applyBorder="1" applyAlignment="1">
      <alignment horizontal="center" vertical="center"/>
    </xf>
    <xf numFmtId="0" fontId="48" fillId="18" borderId="3" xfId="0" applyFont="1" applyFill="1" applyBorder="1" applyAlignment="1">
      <alignment horizontal="center" vertical="center"/>
    </xf>
    <xf numFmtId="0" fontId="36" fillId="3" borderId="4" xfId="0" applyFont="1" applyFill="1" applyBorder="1" applyAlignment="1">
      <alignment horizontal="left" vertical="center"/>
    </xf>
    <xf numFmtId="0" fontId="36" fillId="3" borderId="4" xfId="0" applyFont="1" applyFill="1" applyBorder="1" applyAlignment="1">
      <alignment horizontal="center" vertical="center"/>
    </xf>
    <xf numFmtId="0" fontId="62" fillId="19" borderId="4" xfId="0" applyFont="1" applyFill="1" applyBorder="1" applyAlignment="1">
      <alignment horizontal="center" vertical="center"/>
    </xf>
    <xf numFmtId="0" fontId="63" fillId="18" borderId="4" xfId="0" applyFont="1" applyFill="1" applyBorder="1" applyAlignment="1">
      <alignment horizontal="center" vertical="center"/>
    </xf>
    <xf numFmtId="0" fontId="64" fillId="6" borderId="4" xfId="0" applyFont="1" applyFill="1" applyBorder="1" applyAlignment="1">
      <alignment horizontal="center" vertical="center"/>
    </xf>
    <xf numFmtId="0" fontId="65" fillId="21" borderId="4" xfId="0" applyFont="1" applyFill="1" applyBorder="1" applyAlignment="1">
      <alignment horizontal="left" vertical="center"/>
    </xf>
    <xf numFmtId="0" fontId="65" fillId="21" borderId="4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 vertical="center"/>
    </xf>
    <xf numFmtId="0" fontId="67" fillId="21" borderId="4" xfId="0" applyFont="1" applyFill="1" applyBorder="1" applyAlignment="1">
      <alignment horizontal="center" vertical="center"/>
    </xf>
    <xf numFmtId="0" fontId="68" fillId="20" borderId="4" xfId="0" applyFont="1" applyFill="1" applyBorder="1" applyAlignment="1">
      <alignment horizontal="left" vertical="center"/>
    </xf>
    <xf numFmtId="0" fontId="68" fillId="20" borderId="4" xfId="0" applyFont="1" applyFill="1" applyBorder="1" applyAlignment="1">
      <alignment horizontal="center" vertical="center"/>
    </xf>
    <xf numFmtId="0" fontId="69" fillId="5" borderId="4" xfId="0" applyFont="1" applyFill="1" applyBorder="1" applyAlignment="1">
      <alignment horizontal="center" vertical="center"/>
    </xf>
    <xf numFmtId="0" fontId="70" fillId="20" borderId="4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left" vertical="center"/>
    </xf>
    <xf numFmtId="0" fontId="38" fillId="4" borderId="4" xfId="0" applyFont="1" applyFill="1" applyBorder="1" applyAlignment="1">
      <alignment horizontal="left" vertical="center"/>
    </xf>
    <xf numFmtId="0" fontId="38" fillId="4" borderId="4" xfId="0" applyFont="1" applyFill="1" applyBorder="1" applyAlignment="1">
      <alignment horizontal="center" vertical="center"/>
    </xf>
    <xf numFmtId="0" fontId="61" fillId="4" borderId="4" xfId="0" applyFont="1" applyFill="1" applyBorder="1" applyAlignment="1">
      <alignment horizontal="left" vertical="center"/>
    </xf>
    <xf numFmtId="0" fontId="61" fillId="4" borderId="4" xfId="0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left" vertical="center"/>
    </xf>
    <xf numFmtId="0" fontId="66" fillId="17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69" fillId="5" borderId="3" xfId="0" applyFont="1" applyFill="1" applyBorder="1" applyAlignment="1">
      <alignment horizontal="center" vertical="center"/>
    </xf>
    <xf numFmtId="0" fontId="62" fillId="19" borderId="3" xfId="0" applyFont="1" applyFill="1" applyBorder="1" applyAlignment="1">
      <alignment horizontal="center" vertical="center"/>
    </xf>
    <xf numFmtId="0" fontId="63" fillId="18" borderId="3" xfId="0" applyFont="1" applyFill="1" applyBorder="1" applyAlignment="1">
      <alignment horizontal="center" vertical="center"/>
    </xf>
    <xf numFmtId="0" fontId="66" fillId="9" borderId="3" xfId="0" applyFont="1" applyFill="1" applyBorder="1" applyAlignment="1">
      <alignment horizontal="center" vertical="center"/>
    </xf>
    <xf numFmtId="0" fontId="71" fillId="0" borderId="0" xfId="1"/>
    <xf numFmtId="0" fontId="74" fillId="22" borderId="5" xfId="1" applyFont="1" applyFill="1" applyBorder="1" applyAlignment="1">
      <alignment horizontal="center" vertical="center" wrapText="1"/>
    </xf>
    <xf numFmtId="0" fontId="76" fillId="24" borderId="4" xfId="1" applyFont="1" applyFill="1" applyBorder="1" applyAlignment="1">
      <alignment horizontal="center" vertical="center"/>
    </xf>
    <xf numFmtId="0" fontId="77" fillId="25" borderId="4" xfId="1" applyFont="1" applyFill="1" applyBorder="1" applyAlignment="1">
      <alignment horizontal="center" vertical="center"/>
    </xf>
    <xf numFmtId="0" fontId="78" fillId="25" borderId="4" xfId="1" applyFont="1" applyFill="1" applyBorder="1" applyAlignment="1">
      <alignment horizontal="center" vertical="center"/>
    </xf>
    <xf numFmtId="0" fontId="79" fillId="26" borderId="4" xfId="1" applyFont="1" applyFill="1" applyBorder="1" applyAlignment="1">
      <alignment horizontal="center" vertical="center"/>
    </xf>
    <xf numFmtId="0" fontId="77" fillId="25" borderId="4" xfId="1" applyFont="1" applyFill="1" applyBorder="1" applyAlignment="1">
      <alignment horizontal="left" vertical="center"/>
    </xf>
    <xf numFmtId="0" fontId="77" fillId="25" borderId="4" xfId="1" applyFont="1" applyFill="1" applyBorder="1" applyAlignment="1">
      <alignment horizontal="left" vertical="center" wrapText="1"/>
    </xf>
    <xf numFmtId="0" fontId="80" fillId="24" borderId="4" xfId="1" applyFont="1" applyFill="1" applyBorder="1" applyAlignment="1">
      <alignment horizontal="left" vertical="center" wrapText="1"/>
    </xf>
    <xf numFmtId="0" fontId="77" fillId="27" borderId="4" xfId="1" applyFont="1" applyFill="1" applyBorder="1" applyAlignment="1">
      <alignment horizontal="center" vertical="center"/>
    </xf>
    <xf numFmtId="0" fontId="78" fillId="27" borderId="4" xfId="1" applyFont="1" applyFill="1" applyBorder="1" applyAlignment="1">
      <alignment horizontal="center" vertical="center"/>
    </xf>
    <xf numFmtId="0" fontId="77" fillId="27" borderId="4" xfId="1" applyFont="1" applyFill="1" applyBorder="1" applyAlignment="1">
      <alignment horizontal="left" vertical="center"/>
    </xf>
    <xf numFmtId="0" fontId="77" fillId="27" borderId="4" xfId="1" applyFont="1" applyFill="1" applyBorder="1" applyAlignment="1">
      <alignment horizontal="left" vertical="center" wrapText="1"/>
    </xf>
    <xf numFmtId="0" fontId="81" fillId="28" borderId="4" xfId="1" applyFont="1" applyFill="1" applyBorder="1" applyAlignment="1">
      <alignment horizontal="center" vertical="center"/>
    </xf>
    <xf numFmtId="0" fontId="82" fillId="29" borderId="4" xfId="1" applyFont="1" applyFill="1" applyBorder="1" applyAlignment="1">
      <alignment horizontal="center" vertical="center"/>
    </xf>
    <xf numFmtId="0" fontId="79" fillId="30" borderId="4" xfId="1" applyFont="1" applyFill="1" applyBorder="1" applyAlignment="1">
      <alignment horizontal="center" vertical="center"/>
    </xf>
    <xf numFmtId="0" fontId="77" fillId="30" borderId="4" xfId="1" applyFont="1" applyFill="1" applyBorder="1" applyAlignment="1">
      <alignment horizontal="center" vertical="center"/>
    </xf>
    <xf numFmtId="0" fontId="78" fillId="30" borderId="4" xfId="1" applyFont="1" applyFill="1" applyBorder="1" applyAlignment="1">
      <alignment horizontal="center" vertical="center"/>
    </xf>
    <xf numFmtId="0" fontId="83" fillId="23" borderId="4" xfId="1" applyFont="1" applyFill="1" applyBorder="1" applyAlignment="1">
      <alignment horizontal="center" vertical="center"/>
    </xf>
    <xf numFmtId="0" fontId="77" fillId="30" borderId="4" xfId="1" applyFont="1" applyFill="1" applyBorder="1" applyAlignment="1">
      <alignment horizontal="left" vertical="center"/>
    </xf>
    <xf numFmtId="0" fontId="77" fillId="30" borderId="4" xfId="1" applyFont="1" applyFill="1" applyBorder="1" applyAlignment="1">
      <alignment horizontal="left" vertical="center" wrapText="1"/>
    </xf>
    <xf numFmtId="0" fontId="84" fillId="30" borderId="4" xfId="1" applyFont="1" applyFill="1" applyBorder="1" applyAlignment="1">
      <alignment horizontal="left" vertical="center" wrapText="1"/>
    </xf>
    <xf numFmtId="0" fontId="86" fillId="31" borderId="4" xfId="1" applyFont="1" applyFill="1" applyBorder="1" applyAlignment="1">
      <alignment horizontal="center" vertical="center"/>
    </xf>
    <xf numFmtId="0" fontId="84" fillId="26" borderId="4" xfId="1" applyFont="1" applyFill="1" applyBorder="1" applyAlignment="1">
      <alignment horizontal="left" vertical="center" wrapText="1"/>
    </xf>
    <xf numFmtId="0" fontId="90" fillId="32" borderId="4" xfId="1" applyFont="1" applyFill="1" applyBorder="1" applyAlignment="1">
      <alignment horizontal="left" vertical="center" wrapText="1"/>
    </xf>
    <xf numFmtId="0" fontId="75" fillId="24" borderId="4" xfId="1" applyFont="1" applyFill="1" applyBorder="1" applyAlignment="1">
      <alignment horizontal="center" vertical="center"/>
    </xf>
    <xf numFmtId="0" fontId="93" fillId="25" borderId="4" xfId="1" applyFont="1" applyFill="1" applyBorder="1" applyAlignment="1">
      <alignment horizontal="center" vertical="center"/>
    </xf>
    <xf numFmtId="0" fontId="93" fillId="30" borderId="4" xfId="1" applyFont="1" applyFill="1" applyBorder="1" applyAlignment="1">
      <alignment horizontal="center" vertical="center"/>
    </xf>
    <xf numFmtId="0" fontId="94" fillId="25" borderId="4" xfId="1" applyFont="1" applyFill="1" applyBorder="1" applyAlignment="1">
      <alignment horizontal="center" vertical="center"/>
    </xf>
    <xf numFmtId="0" fontId="95" fillId="25" borderId="4" xfId="1" applyFont="1" applyFill="1" applyBorder="1" applyAlignment="1">
      <alignment horizontal="left" vertical="center" wrapText="1"/>
    </xf>
    <xf numFmtId="0" fontId="96" fillId="25" borderId="4" xfId="1" applyFont="1" applyFill="1" applyBorder="1" applyAlignment="1">
      <alignment horizontal="left" vertical="center" wrapText="1"/>
    </xf>
    <xf numFmtId="0" fontId="85" fillId="31" borderId="4" xfId="1" applyFont="1" applyFill="1" applyBorder="1" applyAlignment="1">
      <alignment horizontal="center" vertical="center"/>
    </xf>
    <xf numFmtId="0" fontId="93" fillId="27" borderId="4" xfId="1" applyFont="1" applyFill="1" applyBorder="1" applyAlignment="1">
      <alignment horizontal="center" vertical="center"/>
    </xf>
    <xf numFmtId="0" fontId="94" fillId="27" borderId="4" xfId="1" applyFont="1" applyFill="1" applyBorder="1" applyAlignment="1">
      <alignment horizontal="center" vertical="center"/>
    </xf>
    <xf numFmtId="0" fontId="95" fillId="27" borderId="4" xfId="1" applyFont="1" applyFill="1" applyBorder="1" applyAlignment="1">
      <alignment horizontal="left" vertical="center" wrapText="1"/>
    </xf>
    <xf numFmtId="0" fontId="96" fillId="27" borderId="4" xfId="1" applyFont="1" applyFill="1" applyBorder="1" applyAlignment="1">
      <alignment horizontal="left" vertical="center" wrapText="1"/>
    </xf>
    <xf numFmtId="0" fontId="87" fillId="26" borderId="4" xfId="1" applyFont="1" applyFill="1" applyBorder="1" applyAlignment="1">
      <alignment horizontal="center" vertical="center"/>
    </xf>
    <xf numFmtId="0" fontId="97" fillId="22" borderId="4" xfId="1" applyFont="1" applyFill="1" applyBorder="1" applyAlignment="1">
      <alignment horizontal="center" vertical="center" wrapText="1"/>
    </xf>
    <xf numFmtId="0" fontId="97" fillId="22" borderId="4" xfId="1" applyFont="1" applyFill="1" applyBorder="1" applyAlignment="1">
      <alignment horizontal="left" vertical="center" wrapText="1"/>
    </xf>
    <xf numFmtId="0" fontId="98" fillId="24" borderId="4" xfId="1" applyFont="1" applyFill="1" applyBorder="1" applyAlignment="1">
      <alignment horizontal="center" vertical="center"/>
    </xf>
    <xf numFmtId="0" fontId="99" fillId="31" borderId="4" xfId="1" applyFont="1" applyFill="1" applyBorder="1" applyAlignment="1">
      <alignment horizontal="center" vertical="center"/>
    </xf>
    <xf numFmtId="0" fontId="100" fillId="26" borderId="4" xfId="1" applyFont="1" applyFill="1" applyBorder="1" applyAlignment="1">
      <alignment horizontal="center" vertical="center"/>
    </xf>
    <xf numFmtId="0" fontId="100" fillId="30" borderId="4" xfId="1" applyFont="1" applyFill="1" applyBorder="1" applyAlignment="1">
      <alignment horizontal="center" vertical="center"/>
    </xf>
    <xf numFmtId="0" fontId="101" fillId="32" borderId="4" xfId="1" applyFont="1" applyFill="1" applyBorder="1" applyAlignment="1">
      <alignment horizontal="center" vertical="center"/>
    </xf>
    <xf numFmtId="0" fontId="102" fillId="28" borderId="4" xfId="1" applyFont="1" applyFill="1" applyBorder="1" applyAlignment="1">
      <alignment horizontal="center" vertical="center"/>
    </xf>
    <xf numFmtId="0" fontId="77" fillId="25" borderId="7" xfId="1" applyFont="1" applyFill="1" applyBorder="1" applyAlignment="1">
      <alignment horizontal="center" vertical="center"/>
    </xf>
    <xf numFmtId="0" fontId="82" fillId="29" borderId="7" xfId="1" applyFont="1" applyFill="1" applyBorder="1" applyAlignment="1">
      <alignment horizontal="center" vertical="center"/>
    </xf>
    <xf numFmtId="0" fontId="77" fillId="25" borderId="7" xfId="1" applyFont="1" applyFill="1" applyBorder="1" applyAlignment="1">
      <alignment horizontal="left" vertical="center"/>
    </xf>
    <xf numFmtId="0" fontId="104" fillId="25" borderId="7" xfId="1" applyFont="1" applyFill="1" applyBorder="1" applyAlignment="1">
      <alignment horizontal="left" vertical="center" wrapText="1"/>
    </xf>
    <xf numFmtId="0" fontId="79" fillId="26" borderId="9" xfId="1" applyFont="1" applyFill="1" applyBorder="1" applyAlignment="1">
      <alignment horizontal="center" vertical="center"/>
    </xf>
    <xf numFmtId="0" fontId="77" fillId="27" borderId="9" xfId="1" applyFont="1" applyFill="1" applyBorder="1" applyAlignment="1">
      <alignment horizontal="left" vertical="center"/>
    </xf>
    <xf numFmtId="0" fontId="77" fillId="27" borderId="10" xfId="1" applyFont="1" applyFill="1" applyBorder="1" applyAlignment="1">
      <alignment horizontal="left" vertical="center"/>
    </xf>
    <xf numFmtId="0" fontId="78" fillId="27" borderId="11" xfId="1" applyFont="1" applyFill="1" applyBorder="1" applyAlignment="1">
      <alignment horizontal="center" vertical="center"/>
    </xf>
    <xf numFmtId="0" fontId="104" fillId="27" borderId="4" xfId="1" applyFont="1" applyFill="1" applyBorder="1" applyAlignment="1">
      <alignment horizontal="left" vertical="center" wrapText="1"/>
    </xf>
    <xf numFmtId="0" fontId="77" fillId="27" borderId="12" xfId="1" applyFont="1" applyFill="1" applyBorder="1" applyAlignment="1">
      <alignment horizontal="left" vertical="center"/>
    </xf>
    <xf numFmtId="0" fontId="78" fillId="25" borderId="11" xfId="1" applyFont="1" applyFill="1" applyBorder="1" applyAlignment="1">
      <alignment horizontal="center" vertical="center"/>
    </xf>
    <xf numFmtId="0" fontId="104" fillId="25" borderId="4" xfId="1" applyFont="1" applyFill="1" applyBorder="1" applyAlignment="1">
      <alignment horizontal="left" vertical="center" wrapText="1"/>
    </xf>
    <xf numFmtId="0" fontId="77" fillId="25" borderId="12" xfId="1" applyFont="1" applyFill="1" applyBorder="1" applyAlignment="1">
      <alignment horizontal="left" vertical="center"/>
    </xf>
    <xf numFmtId="0" fontId="77" fillId="25" borderId="14" xfId="1" applyFont="1" applyFill="1" applyBorder="1" applyAlignment="1">
      <alignment horizontal="left" vertical="center"/>
    </xf>
    <xf numFmtId="0" fontId="80" fillId="24" borderId="14" xfId="1" applyFont="1" applyFill="1" applyBorder="1" applyAlignment="1">
      <alignment horizontal="left" vertical="center" wrapText="1"/>
    </xf>
    <xf numFmtId="0" fontId="77" fillId="25" borderId="15" xfId="1" applyFont="1" applyFill="1" applyBorder="1" applyAlignment="1">
      <alignment horizontal="left" vertical="center"/>
    </xf>
    <xf numFmtId="0" fontId="78" fillId="25" borderId="16" xfId="1" applyFont="1" applyFill="1" applyBorder="1" applyAlignment="1">
      <alignment horizontal="center" vertical="center"/>
    </xf>
    <xf numFmtId="0" fontId="77" fillId="25" borderId="16" xfId="1" applyFont="1" applyFill="1" applyBorder="1" applyAlignment="1">
      <alignment horizontal="center" vertical="center"/>
    </xf>
    <xf numFmtId="0" fontId="79" fillId="26" borderId="16" xfId="1" applyFont="1" applyFill="1" applyBorder="1" applyAlignment="1">
      <alignment horizontal="center" vertical="center"/>
    </xf>
    <xf numFmtId="0" fontId="77" fillId="25" borderId="16" xfId="1" applyFont="1" applyFill="1" applyBorder="1" applyAlignment="1">
      <alignment horizontal="left" vertical="center"/>
    </xf>
    <xf numFmtId="0" fontId="76" fillId="24" borderId="16" xfId="1" applyFont="1" applyFill="1" applyBorder="1" applyAlignment="1">
      <alignment horizontal="center" vertical="center"/>
    </xf>
    <xf numFmtId="0" fontId="104" fillId="25" borderId="16" xfId="1" applyFont="1" applyFill="1" applyBorder="1" applyAlignment="1">
      <alignment horizontal="left" vertical="center" wrapText="1"/>
    </xf>
    <xf numFmtId="0" fontId="81" fillId="28" borderId="9" xfId="1" applyFont="1" applyFill="1" applyBorder="1" applyAlignment="1">
      <alignment horizontal="center" vertical="center"/>
    </xf>
    <xf numFmtId="0" fontId="78" fillId="27" borderId="13" xfId="1" applyFont="1" applyFill="1" applyBorder="1" applyAlignment="1">
      <alignment horizontal="center" vertical="center"/>
    </xf>
    <xf numFmtId="0" fontId="77" fillId="27" borderId="14" xfId="1" applyFont="1" applyFill="1" applyBorder="1" applyAlignment="1">
      <alignment horizontal="center" vertical="center"/>
    </xf>
    <xf numFmtId="0" fontId="105" fillId="25" borderId="14" xfId="1" applyFont="1" applyFill="1" applyBorder="1" applyAlignment="1">
      <alignment horizontal="center" vertical="center"/>
    </xf>
    <xf numFmtId="0" fontId="77" fillId="27" borderId="14" xfId="1" applyFont="1" applyFill="1" applyBorder="1" applyAlignment="1">
      <alignment horizontal="left" vertical="center"/>
    </xf>
    <xf numFmtId="0" fontId="104" fillId="27" borderId="14" xfId="1" applyFont="1" applyFill="1" applyBorder="1" applyAlignment="1">
      <alignment horizontal="left" vertical="center" wrapText="1"/>
    </xf>
    <xf numFmtId="0" fontId="77" fillId="27" borderId="15" xfId="1" applyFont="1" applyFill="1" applyBorder="1" applyAlignment="1">
      <alignment horizontal="left" vertical="center"/>
    </xf>
    <xf numFmtId="0" fontId="78" fillId="25" borderId="8" xfId="1" applyFont="1" applyFill="1" applyBorder="1" applyAlignment="1">
      <alignment horizontal="center" vertical="center"/>
    </xf>
    <xf numFmtId="0" fontId="77" fillId="25" borderId="9" xfId="1" applyFont="1" applyFill="1" applyBorder="1" applyAlignment="1">
      <alignment horizontal="center" vertical="center"/>
    </xf>
    <xf numFmtId="0" fontId="77" fillId="25" borderId="9" xfId="1" applyFont="1" applyFill="1" applyBorder="1" applyAlignment="1">
      <alignment horizontal="left" vertical="center"/>
    </xf>
    <xf numFmtId="0" fontId="104" fillId="25" borderId="9" xfId="1" applyFont="1" applyFill="1" applyBorder="1" applyAlignment="1">
      <alignment horizontal="left" vertical="center" wrapText="1"/>
    </xf>
    <xf numFmtId="0" fontId="77" fillId="25" borderId="10" xfId="1" applyFont="1" applyFill="1" applyBorder="1" applyAlignment="1">
      <alignment horizontal="left" vertical="center"/>
    </xf>
    <xf numFmtId="0" fontId="83" fillId="23" borderId="14" xfId="1" applyFont="1" applyFill="1" applyBorder="1" applyAlignment="1">
      <alignment horizontal="center" vertical="center"/>
    </xf>
    <xf numFmtId="0" fontId="86" fillId="31" borderId="14" xfId="1" applyFont="1" applyFill="1" applyBorder="1" applyAlignment="1">
      <alignment horizontal="center" vertical="center"/>
    </xf>
    <xf numFmtId="0" fontId="83" fillId="23" borderId="9" xfId="1" applyFont="1" applyFill="1" applyBorder="1" applyAlignment="1">
      <alignment horizontal="center" vertical="center"/>
    </xf>
    <xf numFmtId="0" fontId="106" fillId="32" borderId="4" xfId="1" applyFont="1" applyFill="1" applyBorder="1" applyAlignment="1">
      <alignment horizontal="center" vertical="center"/>
    </xf>
    <xf numFmtId="0" fontId="103" fillId="25" borderId="4" xfId="1" applyFont="1" applyFill="1" applyBorder="1" applyAlignment="1">
      <alignment horizontal="left" vertical="center" wrapText="1"/>
    </xf>
    <xf numFmtId="0" fontId="105" fillId="25" borderId="4" xfId="1" applyFont="1" applyFill="1" applyBorder="1" applyAlignment="1">
      <alignment horizontal="center" vertical="center"/>
    </xf>
    <xf numFmtId="0" fontId="81" fillId="25" borderId="4" xfId="1" applyFont="1" applyFill="1" applyBorder="1" applyAlignment="1">
      <alignment horizontal="center" vertical="center"/>
    </xf>
    <xf numFmtId="0" fontId="107" fillId="28" borderId="4" xfId="1" applyFont="1" applyFill="1" applyBorder="1" applyAlignment="1">
      <alignment horizontal="left" vertical="center" wrapText="1"/>
    </xf>
    <xf numFmtId="0" fontId="82" fillId="29" borderId="14" xfId="1" applyFont="1" applyFill="1" applyBorder="1" applyAlignment="1">
      <alignment horizontal="center" vertical="center"/>
    </xf>
    <xf numFmtId="0" fontId="107" fillId="28" borderId="14" xfId="1" applyFont="1" applyFill="1" applyBorder="1" applyAlignment="1">
      <alignment horizontal="left" vertical="center" wrapText="1"/>
    </xf>
    <xf numFmtId="0" fontId="78" fillId="27" borderId="17" xfId="1" applyFont="1" applyFill="1" applyBorder="1" applyAlignment="1">
      <alignment horizontal="center" vertical="center"/>
    </xf>
    <xf numFmtId="0" fontId="77" fillId="27" borderId="17" xfId="1" applyFont="1" applyFill="1" applyBorder="1" applyAlignment="1">
      <alignment horizontal="center" vertical="center"/>
    </xf>
    <xf numFmtId="0" fontId="79" fillId="26" borderId="17" xfId="1" applyFont="1" applyFill="1" applyBorder="1" applyAlignment="1">
      <alignment horizontal="center" vertical="center"/>
    </xf>
    <xf numFmtId="0" fontId="77" fillId="27" borderId="17" xfId="1" applyFont="1" applyFill="1" applyBorder="1" applyAlignment="1">
      <alignment horizontal="left" vertical="center"/>
    </xf>
    <xf numFmtId="0" fontId="81" fillId="25" borderId="17" xfId="1" applyFont="1" applyFill="1" applyBorder="1" applyAlignment="1">
      <alignment horizontal="center" vertical="center"/>
    </xf>
    <xf numFmtId="0" fontId="103" fillId="25" borderId="17" xfId="1" applyFont="1" applyFill="1" applyBorder="1" applyAlignment="1">
      <alignment horizontal="left" vertical="center" wrapText="1"/>
    </xf>
    <xf numFmtId="0" fontId="104" fillId="27" borderId="17" xfId="1" applyFont="1" applyFill="1" applyBorder="1" applyAlignment="1">
      <alignment horizontal="left" vertical="center" wrapText="1"/>
    </xf>
    <xf numFmtId="0" fontId="103" fillId="33" borderId="4" xfId="1" applyFont="1" applyFill="1" applyBorder="1" applyAlignment="1">
      <alignment horizontal="left" vertical="center" wrapText="1"/>
    </xf>
    <xf numFmtId="0" fontId="108" fillId="0" borderId="0" xfId="0" applyFont="1"/>
    <xf numFmtId="17" fontId="108" fillId="0" borderId="0" xfId="0" applyNumberFormat="1" applyFont="1"/>
    <xf numFmtId="0" fontId="0" fillId="34" borderId="0" xfId="0" applyFill="1"/>
    <xf numFmtId="0" fontId="2" fillId="12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64" fontId="1" fillId="9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1" fillId="9" borderId="0" xfId="0" applyNumberFormat="1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164" fontId="1" fillId="12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9" fillId="20" borderId="2" xfId="0" applyFont="1" applyFill="1" applyBorder="1" applyAlignment="1">
      <alignment horizontal="center" vertical="center" wrapText="1"/>
    </xf>
    <xf numFmtId="0" fontId="0" fillId="20" borderId="2" xfId="0" applyFill="1" applyBorder="1"/>
    <xf numFmtId="0" fontId="23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30" fillId="19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center"/>
    </xf>
    <xf numFmtId="0" fontId="23" fillId="18" borderId="2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left" vertical="center"/>
    </xf>
    <xf numFmtId="0" fontId="31" fillId="7" borderId="2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left" vertical="center"/>
    </xf>
    <xf numFmtId="0" fontId="33" fillId="20" borderId="2" xfId="0" applyFont="1" applyFill="1" applyBorder="1" applyAlignment="1">
      <alignment horizontal="left" vertical="center"/>
    </xf>
    <xf numFmtId="0" fontId="33" fillId="20" borderId="2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35" fillId="21" borderId="2" xfId="0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center" vertical="center" wrapText="1"/>
    </xf>
    <xf numFmtId="0" fontId="35" fillId="21" borderId="2" xfId="0" applyFont="1" applyFill="1" applyBorder="1" applyAlignment="1">
      <alignment horizontal="center" vertical="center" wrapText="1"/>
    </xf>
    <xf numFmtId="0" fontId="27" fillId="18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left" vertical="center"/>
    </xf>
    <xf numFmtId="0" fontId="22" fillId="9" borderId="2" xfId="0" applyFont="1" applyFill="1" applyBorder="1" applyAlignment="1">
      <alignment horizontal="center" vertical="center" wrapText="1"/>
    </xf>
    <xf numFmtId="0" fontId="113" fillId="35" borderId="4" xfId="1" applyFont="1" applyFill="1" applyBorder="1" applyAlignment="1">
      <alignment horizontal="center" vertical="center"/>
    </xf>
    <xf numFmtId="0" fontId="88" fillId="35" borderId="4" xfId="1" applyFont="1" applyFill="1" applyBorder="1" applyAlignment="1">
      <alignment horizontal="center" vertical="center"/>
    </xf>
    <xf numFmtId="0" fontId="72" fillId="36" borderId="18" xfId="1" applyFont="1" applyFill="1" applyBorder="1" applyAlignment="1">
      <alignment horizontal="center" vertical="center"/>
    </xf>
    <xf numFmtId="0" fontId="97" fillId="36" borderId="18" xfId="1" applyFont="1" applyFill="1" applyBorder="1" applyAlignment="1">
      <alignment horizontal="center" vertical="center"/>
    </xf>
    <xf numFmtId="0" fontId="97" fillId="36" borderId="4" xfId="1" applyFont="1" applyFill="1" applyBorder="1" applyAlignment="1">
      <alignment horizontal="center" vertical="center"/>
    </xf>
    <xf numFmtId="0" fontId="89" fillId="28" borderId="4" xfId="1" applyFont="1" applyFill="1" applyBorder="1" applyAlignment="1">
      <alignment horizontal="center" vertical="center"/>
    </xf>
    <xf numFmtId="0" fontId="115" fillId="32" borderId="4" xfId="1" applyFont="1" applyFill="1" applyBorder="1" applyAlignment="1">
      <alignment horizontal="center" vertical="center"/>
    </xf>
    <xf numFmtId="0" fontId="116" fillId="28" borderId="4" xfId="1" applyFont="1" applyFill="1" applyBorder="1" applyAlignment="1">
      <alignment horizontal="center" vertical="center"/>
    </xf>
    <xf numFmtId="0" fontId="77" fillId="28" borderId="4" xfId="1" applyFont="1" applyFill="1" applyBorder="1" applyAlignment="1">
      <alignment horizontal="left" vertical="center"/>
    </xf>
    <xf numFmtId="0" fontId="89" fillId="28" borderId="20" xfId="1" applyFont="1" applyFill="1" applyBorder="1" applyAlignment="1">
      <alignment horizontal="left" vertical="center"/>
    </xf>
    <xf numFmtId="0" fontId="97" fillId="37" borderId="4" xfId="1" applyFont="1" applyFill="1" applyBorder="1" applyAlignment="1">
      <alignment horizontal="center" vertical="center"/>
    </xf>
    <xf numFmtId="0" fontId="82" fillId="38" borderId="4" xfId="1" applyFont="1" applyFill="1" applyBorder="1" applyAlignment="1">
      <alignment horizontal="center" vertical="center"/>
    </xf>
    <xf numFmtId="0" fontId="116" fillId="38" borderId="4" xfId="1" applyFont="1" applyFill="1" applyBorder="1" applyAlignment="1">
      <alignment horizontal="center" vertical="center"/>
    </xf>
    <xf numFmtId="0" fontId="117" fillId="31" borderId="4" xfId="1" applyFont="1" applyFill="1" applyBorder="1" applyAlignment="1">
      <alignment horizontal="center" vertical="center"/>
    </xf>
    <xf numFmtId="0" fontId="71" fillId="38" borderId="20" xfId="1" applyFill="1" applyBorder="1" applyAlignment="1">
      <alignment horizontal="left" vertical="center"/>
    </xf>
    <xf numFmtId="0" fontId="118" fillId="39" borderId="4" xfId="1" applyFont="1" applyFill="1" applyBorder="1" applyAlignment="1">
      <alignment horizontal="center" vertical="center"/>
    </xf>
    <xf numFmtId="0" fontId="77" fillId="38" borderId="4" xfId="1" applyFont="1" applyFill="1" applyBorder="1" applyAlignment="1">
      <alignment horizontal="left" vertical="center"/>
    </xf>
    <xf numFmtId="0" fontId="119" fillId="38" borderId="20" xfId="1" applyFont="1" applyFill="1" applyBorder="1" applyAlignment="1">
      <alignment horizontal="left" vertical="center"/>
    </xf>
    <xf numFmtId="0" fontId="97" fillId="40" borderId="4" xfId="1" applyFont="1" applyFill="1" applyBorder="1" applyAlignment="1">
      <alignment horizontal="center" vertical="center"/>
    </xf>
    <xf numFmtId="0" fontId="116" fillId="23" borderId="4" xfId="1" applyFont="1" applyFill="1" applyBorder="1" applyAlignment="1">
      <alignment horizontal="center" vertical="center"/>
    </xf>
    <xf numFmtId="0" fontId="77" fillId="23" borderId="4" xfId="1" applyFont="1" applyFill="1" applyBorder="1" applyAlignment="1">
      <alignment horizontal="left" vertical="center"/>
    </xf>
    <xf numFmtId="0" fontId="71" fillId="23" borderId="20" xfId="1" applyFill="1" applyBorder="1" applyAlignment="1">
      <alignment horizontal="left" vertical="center"/>
    </xf>
    <xf numFmtId="0" fontId="120" fillId="24" borderId="4" xfId="1" applyFont="1" applyFill="1" applyBorder="1" applyAlignment="1">
      <alignment horizontal="center" vertical="center"/>
    </xf>
    <xf numFmtId="0" fontId="121" fillId="23" borderId="20" xfId="1" applyFont="1" applyFill="1" applyBorder="1" applyAlignment="1">
      <alignment horizontal="left" vertical="center"/>
    </xf>
    <xf numFmtId="0" fontId="122" fillId="23" borderId="18" xfId="1" applyFont="1" applyFill="1" applyBorder="1" applyAlignment="1">
      <alignment horizontal="center" vertical="center"/>
    </xf>
    <xf numFmtId="0" fontId="102" fillId="28" borderId="18" xfId="1" applyFont="1" applyFill="1" applyBorder="1" applyAlignment="1">
      <alignment horizontal="center" vertical="center" wrapText="1"/>
    </xf>
    <xf numFmtId="0" fontId="101" fillId="32" borderId="18" xfId="1" applyFont="1" applyFill="1" applyBorder="1" applyAlignment="1">
      <alignment horizontal="center" vertical="center" wrapText="1"/>
    </xf>
    <xf numFmtId="0" fontId="100" fillId="39" borderId="18" xfId="1" applyFont="1" applyFill="1" applyBorder="1" applyAlignment="1">
      <alignment horizontal="center" vertical="center" wrapText="1"/>
    </xf>
    <xf numFmtId="0" fontId="99" fillId="31" borderId="18" xfId="1" applyFont="1" applyFill="1" applyBorder="1" applyAlignment="1">
      <alignment horizontal="center" vertical="center" wrapText="1"/>
    </xf>
    <xf numFmtId="0" fontId="98" fillId="24" borderId="18" xfId="1" applyFont="1" applyFill="1" applyBorder="1" applyAlignment="1">
      <alignment horizontal="center" vertical="center" wrapText="1"/>
    </xf>
    <xf numFmtId="0" fontId="122" fillId="23" borderId="18" xfId="1" applyFont="1" applyFill="1" applyBorder="1" applyAlignment="1">
      <alignment horizontal="left" vertical="center"/>
    </xf>
    <xf numFmtId="0" fontId="72" fillId="40" borderId="18" xfId="1" applyFont="1" applyFill="1" applyBorder="1" applyAlignment="1">
      <alignment horizontal="center" vertical="center"/>
    </xf>
    <xf numFmtId="0" fontId="97" fillId="40" borderId="18" xfId="1" applyFont="1" applyFill="1" applyBorder="1" applyAlignment="1">
      <alignment horizontal="center" vertical="center"/>
    </xf>
    <xf numFmtId="0" fontId="71" fillId="28" borderId="20" xfId="1" applyFill="1" applyBorder="1" applyAlignment="1">
      <alignment horizontal="left" vertical="center"/>
    </xf>
    <xf numFmtId="0" fontId="100" fillId="39" borderId="4" xfId="1" applyFont="1" applyFill="1" applyBorder="1" applyAlignment="1">
      <alignment horizontal="center" vertical="center"/>
    </xf>
    <xf numFmtId="0" fontId="123" fillId="3" borderId="2" xfId="0" applyFont="1" applyFill="1" applyBorder="1" applyAlignment="1">
      <alignment horizontal="center" vertical="center" wrapText="1"/>
    </xf>
    <xf numFmtId="165" fontId="116" fillId="23" borderId="4" xfId="1" applyNumberFormat="1" applyFont="1" applyFill="1" applyBorder="1" applyAlignment="1">
      <alignment horizontal="center" vertical="center"/>
    </xf>
    <xf numFmtId="165" fontId="117" fillId="31" borderId="4" xfId="1" applyNumberFormat="1" applyFont="1" applyFill="1" applyBorder="1" applyAlignment="1">
      <alignment horizontal="center" vertical="center"/>
    </xf>
    <xf numFmtId="165" fontId="115" fillId="32" borderId="4" xfId="1" applyNumberFormat="1" applyFont="1" applyFill="1" applyBorder="1" applyAlignment="1">
      <alignment horizontal="center" vertical="center"/>
    </xf>
    <xf numFmtId="165" fontId="120" fillId="24" borderId="4" xfId="1" applyNumberFormat="1" applyFont="1" applyFill="1" applyBorder="1" applyAlignment="1">
      <alignment horizontal="center" vertical="center"/>
    </xf>
    <xf numFmtId="165" fontId="116" fillId="38" borderId="4" xfId="1" applyNumberFormat="1" applyFont="1" applyFill="1" applyBorder="1" applyAlignment="1">
      <alignment horizontal="center" vertical="center"/>
    </xf>
    <xf numFmtId="165" fontId="118" fillId="39" borderId="4" xfId="1" applyNumberFormat="1" applyFont="1" applyFill="1" applyBorder="1" applyAlignment="1">
      <alignment horizontal="center" vertical="center"/>
    </xf>
    <xf numFmtId="165" fontId="89" fillId="28" borderId="4" xfId="1" applyNumberFormat="1" applyFont="1" applyFill="1" applyBorder="1" applyAlignment="1">
      <alignment horizontal="center" vertical="center"/>
    </xf>
    <xf numFmtId="165" fontId="116" fillId="28" borderId="4" xfId="1" applyNumberFormat="1" applyFont="1" applyFill="1" applyBorder="1" applyAlignment="1">
      <alignment horizontal="center" vertical="center"/>
    </xf>
    <xf numFmtId="165" fontId="83" fillId="23" borderId="4" xfId="1" applyNumberFormat="1" applyFont="1" applyFill="1" applyBorder="1" applyAlignment="1">
      <alignment horizontal="center" vertical="center"/>
    </xf>
    <xf numFmtId="165" fontId="82" fillId="38" borderId="4" xfId="1" applyNumberFormat="1" applyFont="1" applyFill="1" applyBorder="1" applyAlignment="1">
      <alignment horizontal="center" vertical="center"/>
    </xf>
    <xf numFmtId="165" fontId="81" fillId="28" borderId="4" xfId="1" applyNumberFormat="1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left" vertical="center"/>
    </xf>
    <xf numFmtId="0" fontId="3" fillId="41" borderId="2" xfId="0" applyFont="1" applyFill="1" applyBorder="1" applyAlignment="1">
      <alignment horizontal="center" vertical="center" wrapText="1"/>
    </xf>
    <xf numFmtId="0" fontId="124" fillId="3" borderId="2" xfId="0" applyFont="1" applyFill="1" applyBorder="1" applyAlignment="1">
      <alignment horizontal="center" vertical="center" wrapText="1"/>
    </xf>
    <xf numFmtId="0" fontId="123" fillId="3" borderId="2" xfId="0" applyFont="1" applyFill="1" applyBorder="1" applyAlignment="1">
      <alignment horizontal="left" vertical="center"/>
    </xf>
    <xf numFmtId="0" fontId="74" fillId="36" borderId="0" xfId="1" applyFont="1" applyFill="1" applyAlignment="1">
      <alignment horizontal="left" vertical="center"/>
    </xf>
    <xf numFmtId="0" fontId="97" fillId="36" borderId="0" xfId="1" applyFont="1" applyFill="1" applyAlignment="1">
      <alignment horizontal="center" vertical="center"/>
    </xf>
    <xf numFmtId="0" fontId="67" fillId="42" borderId="0" xfId="1" applyFont="1" applyFill="1" applyAlignment="1">
      <alignment horizontal="left" vertical="center"/>
    </xf>
    <xf numFmtId="0" fontId="42" fillId="42" borderId="0" xfId="1" applyFont="1" applyFill="1" applyAlignment="1">
      <alignment horizontal="left" vertical="center"/>
    </xf>
    <xf numFmtId="0" fontId="65" fillId="42" borderId="0" xfId="1" applyFont="1" applyFill="1" applyAlignment="1">
      <alignment horizontal="center" vertical="center"/>
    </xf>
    <xf numFmtId="0" fontId="42" fillId="43" borderId="0" xfId="1" applyFont="1" applyFill="1" applyAlignment="1">
      <alignment horizontal="left" vertical="center"/>
    </xf>
    <xf numFmtId="0" fontId="74" fillId="43" borderId="0" xfId="1" applyFont="1" applyFill="1" applyAlignment="1">
      <alignment horizontal="left" vertical="center"/>
    </xf>
    <xf numFmtId="0" fontId="66" fillId="43" borderId="0" xfId="1" applyFont="1" applyFill="1" applyAlignment="1">
      <alignment horizontal="center" vertical="center"/>
    </xf>
    <xf numFmtId="0" fontId="74" fillId="22" borderId="23" xfId="1" applyFont="1" applyFill="1" applyBorder="1" applyAlignment="1">
      <alignment horizontal="center" vertical="center" wrapText="1"/>
    </xf>
    <xf numFmtId="0" fontId="77" fillId="27" borderId="24" xfId="1" applyFont="1" applyFill="1" applyBorder="1" applyAlignment="1">
      <alignment horizontal="center" vertical="center"/>
    </xf>
    <xf numFmtId="0" fontId="77" fillId="27" borderId="6" xfId="1" applyFont="1" applyFill="1" applyBorder="1" applyAlignment="1">
      <alignment horizontal="center" vertical="center"/>
    </xf>
    <xf numFmtId="0" fontId="77" fillId="25" borderId="6" xfId="1" applyFont="1" applyFill="1" applyBorder="1" applyAlignment="1">
      <alignment horizontal="center" vertical="center"/>
    </xf>
    <xf numFmtId="0" fontId="77" fillId="25" borderId="25" xfId="1" applyFont="1" applyFill="1" applyBorder="1" applyAlignment="1">
      <alignment horizontal="center" vertical="center"/>
    </xf>
    <xf numFmtId="0" fontId="77" fillId="27" borderId="25" xfId="1" applyFont="1" applyFill="1" applyBorder="1" applyAlignment="1">
      <alignment horizontal="center" vertical="center"/>
    </xf>
    <xf numFmtId="0" fontId="74" fillId="22" borderId="26" xfId="1" applyFont="1" applyFill="1" applyBorder="1" applyAlignment="1">
      <alignment horizontal="center" vertical="center" wrapText="1"/>
    </xf>
    <xf numFmtId="0" fontId="74" fillId="22" borderId="27" xfId="1" applyFont="1" applyFill="1" applyBorder="1" applyAlignment="1">
      <alignment horizontal="center" vertical="center" wrapText="1"/>
    </xf>
    <xf numFmtId="0" fontId="79" fillId="26" borderId="28" xfId="1" applyFont="1" applyFill="1" applyBorder="1" applyAlignment="1">
      <alignment horizontal="center" vertical="center"/>
    </xf>
    <xf numFmtId="0" fontId="79" fillId="26" borderId="21" xfId="1" applyFont="1" applyFill="1" applyBorder="1" applyAlignment="1">
      <alignment horizontal="center" vertical="center"/>
    </xf>
    <xf numFmtId="0" fontId="81" fillId="28" borderId="21" xfId="1" applyFont="1" applyFill="1" applyBorder="1" applyAlignment="1">
      <alignment horizontal="center" vertical="center"/>
    </xf>
    <xf numFmtId="0" fontId="81" fillId="28" borderId="29" xfId="1" applyFont="1" applyFill="1" applyBorder="1" applyAlignment="1">
      <alignment horizontal="center" vertical="center"/>
    </xf>
    <xf numFmtId="0" fontId="104" fillId="27" borderId="30" xfId="1" applyFont="1" applyFill="1" applyBorder="1" applyAlignment="1">
      <alignment horizontal="left" vertical="center" wrapText="1"/>
    </xf>
    <xf numFmtId="0" fontId="104" fillId="27" borderId="31" xfId="1" applyFont="1" applyFill="1" applyBorder="1" applyAlignment="1">
      <alignment horizontal="left" vertical="center" wrapText="1"/>
    </xf>
    <xf numFmtId="0" fontId="104" fillId="25" borderId="31" xfId="1" applyFont="1" applyFill="1" applyBorder="1" applyAlignment="1">
      <alignment horizontal="left" vertical="center" wrapText="1"/>
    </xf>
    <xf numFmtId="0" fontId="104" fillId="25" borderId="32" xfId="1" applyFont="1" applyFill="1" applyBorder="1" applyAlignment="1">
      <alignment horizontal="left" vertical="center" wrapText="1"/>
    </xf>
    <xf numFmtId="0" fontId="81" fillId="28" borderId="28" xfId="1" applyFont="1" applyFill="1" applyBorder="1" applyAlignment="1">
      <alignment horizontal="center" vertical="center"/>
    </xf>
    <xf numFmtId="0" fontId="105" fillId="25" borderId="29" xfId="1" applyFont="1" applyFill="1" applyBorder="1" applyAlignment="1">
      <alignment horizontal="center" vertical="center"/>
    </xf>
    <xf numFmtId="0" fontId="104" fillId="27" borderId="32" xfId="1" applyFont="1" applyFill="1" applyBorder="1" applyAlignment="1">
      <alignment horizontal="left" vertical="center" wrapText="1"/>
    </xf>
    <xf numFmtId="0" fontId="98" fillId="24" borderId="7" xfId="1" applyFont="1" applyFill="1" applyBorder="1" applyAlignment="1">
      <alignment horizontal="center" vertical="center"/>
    </xf>
    <xf numFmtId="0" fontId="99" fillId="31" borderId="7" xfId="1" applyFont="1" applyFill="1" applyBorder="1" applyAlignment="1">
      <alignment horizontal="center" vertical="center"/>
    </xf>
    <xf numFmtId="0" fontId="102" fillId="25" borderId="7" xfId="1" applyFont="1" applyFill="1" applyBorder="1" applyAlignment="1">
      <alignment horizontal="center" vertical="center"/>
    </xf>
    <xf numFmtId="0" fontId="102" fillId="28" borderId="7" xfId="1" applyFont="1" applyFill="1" applyBorder="1" applyAlignment="1">
      <alignment horizontal="center" vertical="center"/>
    </xf>
    <xf numFmtId="0" fontId="103" fillId="25" borderId="16" xfId="1" applyFont="1" applyFill="1" applyBorder="1" applyAlignment="1">
      <alignment horizontal="left" vertical="center" wrapText="1"/>
    </xf>
    <xf numFmtId="0" fontId="77" fillId="27" borderId="33" xfId="1" applyFont="1" applyFill="1" applyBorder="1" applyAlignment="1">
      <alignment horizontal="left" vertical="center"/>
    </xf>
    <xf numFmtId="0" fontId="78" fillId="25" borderId="34" xfId="1" applyFont="1" applyFill="1" applyBorder="1" applyAlignment="1">
      <alignment horizontal="center" vertical="center"/>
    </xf>
    <xf numFmtId="0" fontId="77" fillId="25" borderId="17" xfId="1" applyFont="1" applyFill="1" applyBorder="1" applyAlignment="1">
      <alignment horizontal="center" vertical="center"/>
    </xf>
    <xf numFmtId="0" fontId="86" fillId="31" borderId="17" xfId="1" applyFont="1" applyFill="1" applyBorder="1" applyAlignment="1">
      <alignment horizontal="center" vertical="center"/>
    </xf>
    <xf numFmtId="0" fontId="80" fillId="24" borderId="17" xfId="1" applyFont="1" applyFill="1" applyBorder="1" applyAlignment="1">
      <alignment horizontal="left" vertical="center" wrapText="1"/>
    </xf>
    <xf numFmtId="0" fontId="77" fillId="25" borderId="17" xfId="1" applyFont="1" applyFill="1" applyBorder="1" applyAlignment="1">
      <alignment horizontal="left" vertical="center"/>
    </xf>
    <xf numFmtId="0" fontId="77" fillId="25" borderId="35" xfId="1" applyFont="1" applyFill="1" applyBorder="1" applyAlignment="1">
      <alignment horizontal="left" vertical="center"/>
    </xf>
    <xf numFmtId="0" fontId="77" fillId="27" borderId="35" xfId="1" applyFont="1" applyFill="1" applyBorder="1" applyAlignment="1">
      <alignment horizontal="left" vertical="center"/>
    </xf>
    <xf numFmtId="0" fontId="74" fillId="22" borderId="22" xfId="1" applyFont="1" applyFill="1" applyBorder="1" applyAlignment="1">
      <alignment horizontal="center" vertical="center" wrapText="1"/>
    </xf>
    <xf numFmtId="0" fontId="78" fillId="27" borderId="22" xfId="1" applyFont="1" applyFill="1" applyBorder="1" applyAlignment="1">
      <alignment horizontal="center" vertical="center"/>
    </xf>
    <xf numFmtId="0" fontId="77" fillId="27" borderId="22" xfId="1" applyFont="1" applyFill="1" applyBorder="1" applyAlignment="1">
      <alignment horizontal="center" vertical="center"/>
    </xf>
    <xf numFmtId="0" fontId="78" fillId="25" borderId="22" xfId="1" applyFont="1" applyFill="1" applyBorder="1" applyAlignment="1">
      <alignment horizontal="center" vertical="center"/>
    </xf>
    <xf numFmtId="0" fontId="77" fillId="25" borderId="22" xfId="1" applyFont="1" applyFill="1" applyBorder="1" applyAlignment="1">
      <alignment horizontal="center" vertical="center"/>
    </xf>
    <xf numFmtId="0" fontId="76" fillId="24" borderId="22" xfId="1" applyFont="1" applyFill="1" applyBorder="1" applyAlignment="1">
      <alignment horizontal="center" vertical="center"/>
    </xf>
    <xf numFmtId="0" fontId="80" fillId="24" borderId="22" xfId="1" applyFont="1" applyFill="1" applyBorder="1" applyAlignment="1">
      <alignment horizontal="left" vertical="center" wrapText="1"/>
    </xf>
    <xf numFmtId="0" fontId="77" fillId="27" borderId="22" xfId="1" applyFont="1" applyFill="1" applyBorder="1" applyAlignment="1">
      <alignment horizontal="left" vertical="center"/>
    </xf>
    <xf numFmtId="3" fontId="77" fillId="27" borderId="22" xfId="1" applyNumberFormat="1" applyFont="1" applyFill="1" applyBorder="1" applyAlignment="1">
      <alignment horizontal="center" vertical="center"/>
    </xf>
    <xf numFmtId="0" fontId="77" fillId="25" borderId="22" xfId="1" applyFont="1" applyFill="1" applyBorder="1" applyAlignment="1">
      <alignment horizontal="left" vertical="center"/>
    </xf>
    <xf numFmtId="3" fontId="77" fillId="25" borderId="22" xfId="1" applyNumberFormat="1" applyFont="1" applyFill="1" applyBorder="1" applyAlignment="1">
      <alignment horizontal="center" vertical="center"/>
    </xf>
    <xf numFmtId="3" fontId="77" fillId="44" borderId="22" xfId="1" applyNumberFormat="1" applyFont="1" applyFill="1" applyBorder="1" applyAlignment="1">
      <alignment horizontal="center" vertical="center"/>
    </xf>
    <xf numFmtId="0" fontId="72" fillId="22" borderId="0" xfId="1" applyFont="1" applyFill="1" applyAlignment="1">
      <alignment horizontal="center" vertical="center"/>
    </xf>
    <xf numFmtId="0" fontId="73" fillId="23" borderId="0" xfId="1" applyFont="1" applyFill="1" applyAlignment="1">
      <alignment horizontal="center" vertical="center" wrapText="1"/>
    </xf>
    <xf numFmtId="0" fontId="46" fillId="9" borderId="0" xfId="0" applyFont="1" applyFill="1" applyAlignment="1">
      <alignment horizontal="center" vertical="center"/>
    </xf>
    <xf numFmtId="0" fontId="0" fillId="0" borderId="0" xfId="0"/>
    <xf numFmtId="0" fontId="60" fillId="13" borderId="3" xfId="0" applyFont="1" applyFill="1" applyBorder="1" applyAlignment="1">
      <alignment horizontal="center" vertical="center"/>
    </xf>
    <xf numFmtId="0" fontId="60" fillId="12" borderId="3" xfId="0" applyFont="1" applyFill="1" applyBorder="1" applyAlignment="1">
      <alignment horizontal="center" vertical="center"/>
    </xf>
    <xf numFmtId="0" fontId="60" fillId="10" borderId="3" xfId="0" applyFont="1" applyFill="1" applyBorder="1" applyAlignment="1">
      <alignment horizontal="center" vertical="center"/>
    </xf>
    <xf numFmtId="0" fontId="60" fillId="14" borderId="3" xfId="0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0" fontId="60" fillId="15" borderId="3" xfId="0" applyFont="1" applyFill="1" applyBorder="1" applyAlignment="1">
      <alignment horizontal="center" vertical="center"/>
    </xf>
    <xf numFmtId="0" fontId="42" fillId="14" borderId="3" xfId="0" applyFont="1" applyFill="1" applyBorder="1" applyAlignment="1">
      <alignment horizontal="center" vertical="center" wrapText="1"/>
    </xf>
    <xf numFmtId="0" fontId="42" fillId="13" borderId="3" xfId="0" applyFont="1" applyFill="1" applyBorder="1" applyAlignment="1">
      <alignment horizontal="center" vertical="center" wrapText="1"/>
    </xf>
    <xf numFmtId="0" fontId="42" fillId="10" borderId="3" xfId="0" applyFont="1" applyFill="1" applyBorder="1" applyAlignment="1">
      <alignment horizontal="center" vertical="center" wrapText="1"/>
    </xf>
    <xf numFmtId="0" fontId="43" fillId="9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 wrapText="1"/>
    </xf>
    <xf numFmtId="0" fontId="42" fillId="9" borderId="3" xfId="0" applyFont="1" applyFill="1" applyBorder="1" applyAlignment="1">
      <alignment horizontal="center" vertical="center" wrapText="1"/>
    </xf>
    <xf numFmtId="0" fontId="42" fillId="15" borderId="3" xfId="0" applyFont="1" applyFill="1" applyBorder="1" applyAlignment="1">
      <alignment horizontal="center" vertical="center" wrapText="1"/>
    </xf>
    <xf numFmtId="0" fontId="42" fillId="12" borderId="3" xfId="0" applyFont="1" applyFill="1" applyBorder="1" applyAlignment="1">
      <alignment horizontal="center" vertical="center" wrapText="1"/>
    </xf>
    <xf numFmtId="0" fontId="72" fillId="35" borderId="0" xfId="1" applyFont="1" applyFill="1" applyAlignment="1">
      <alignment horizontal="center" vertical="center"/>
    </xf>
    <xf numFmtId="0" fontId="73" fillId="23" borderId="0" xfId="1" applyFont="1" applyFill="1" applyAlignment="1">
      <alignment horizontal="center" vertical="center"/>
    </xf>
    <xf numFmtId="0" fontId="88" fillId="40" borderId="0" xfId="1" applyFont="1" applyFill="1" applyAlignment="1">
      <alignment horizontal="left" vertical="center"/>
    </xf>
    <xf numFmtId="0" fontId="74" fillId="40" borderId="6" xfId="1" applyFont="1" applyFill="1" applyBorder="1" applyAlignment="1">
      <alignment horizontal="left" vertical="center"/>
    </xf>
    <xf numFmtId="0" fontId="74" fillId="37" borderId="6" xfId="1" applyFont="1" applyFill="1" applyBorder="1" applyAlignment="1">
      <alignment horizontal="left" vertical="center"/>
    </xf>
    <xf numFmtId="0" fontId="74" fillId="36" borderId="6" xfId="1" applyFont="1" applyFill="1" applyBorder="1" applyAlignment="1">
      <alignment horizontal="left" vertical="center"/>
    </xf>
    <xf numFmtId="0" fontId="114" fillId="35" borderId="6" xfId="1" applyFont="1" applyFill="1" applyBorder="1" applyAlignment="1">
      <alignment horizontal="left" vertical="center"/>
    </xf>
    <xf numFmtId="0" fontId="88" fillId="40" borderId="19" xfId="1" applyFont="1" applyFill="1" applyBorder="1" applyAlignment="1">
      <alignment horizontal="left" vertical="center"/>
    </xf>
    <xf numFmtId="0" fontId="88" fillId="36" borderId="0" xfId="1" applyFont="1" applyFill="1" applyAlignment="1">
      <alignment horizontal="left" vertical="center"/>
    </xf>
    <xf numFmtId="0" fontId="74" fillId="40" borderId="21" xfId="1" applyFont="1" applyFill="1" applyBorder="1" applyAlignment="1">
      <alignment horizontal="left" vertical="center"/>
    </xf>
    <xf numFmtId="0" fontId="74" fillId="37" borderId="21" xfId="1" applyFont="1" applyFill="1" applyBorder="1" applyAlignment="1">
      <alignment horizontal="left" vertical="center"/>
    </xf>
    <xf numFmtId="0" fontId="88" fillId="36" borderId="19" xfId="1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8" fillId="20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left" vertical="center"/>
    </xf>
    <xf numFmtId="0" fontId="89" fillId="28" borderId="0" xfId="1" applyFont="1" applyFill="1" applyAlignment="1">
      <alignment horizontal="left" vertical="center"/>
    </xf>
    <xf numFmtId="0" fontId="91" fillId="32" borderId="4" xfId="1" applyFont="1" applyFill="1" applyBorder="1" applyAlignment="1">
      <alignment horizontal="left" vertical="center" wrapText="1"/>
    </xf>
    <xf numFmtId="0" fontId="92" fillId="26" borderId="4" xfId="1" applyFont="1" applyFill="1" applyBorder="1" applyAlignment="1">
      <alignment horizontal="left" vertical="center" wrapText="1"/>
    </xf>
    <xf numFmtId="0" fontId="75" fillId="24" borderId="6" xfId="1" applyFont="1" applyFill="1" applyBorder="1" applyAlignment="1">
      <alignment horizontal="left" vertical="center"/>
    </xf>
    <xf numFmtId="0" fontId="85" fillId="31" borderId="6" xfId="1" applyFont="1" applyFill="1" applyBorder="1" applyAlignment="1">
      <alignment horizontal="left" vertical="center"/>
    </xf>
    <xf numFmtId="0" fontId="87" fillId="26" borderId="6" xfId="1" applyFont="1" applyFill="1" applyBorder="1" applyAlignment="1">
      <alignment horizontal="left" vertical="center"/>
    </xf>
    <xf numFmtId="0" fontId="88" fillId="22" borderId="6" xfId="1" applyFont="1" applyFill="1" applyBorder="1" applyAlignment="1">
      <alignment horizontal="left" vertical="center"/>
    </xf>
    <xf numFmtId="0" fontId="25" fillId="4" borderId="0" xfId="0" applyFont="1" applyFill="1" applyAlignment="1">
      <alignment horizontal="left" vertical="center"/>
    </xf>
    <xf numFmtId="0" fontId="21" fillId="11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2" fillId="12" borderId="0" xfId="0" applyFont="1" applyFill="1" applyAlignment="1">
      <alignment horizontal="left" vertical="center"/>
    </xf>
    <xf numFmtId="0" fontId="32" fillId="11" borderId="0" xfId="0" applyFont="1" applyFill="1" applyAlignment="1">
      <alignment horizontal="center" vertical="center" wrapText="1"/>
    </xf>
    <xf numFmtId="0" fontId="42" fillId="8" borderId="0" xfId="0" applyFont="1" applyFill="1" applyAlignment="1">
      <alignment horizontal="center" vertical="center" wrapText="1"/>
    </xf>
    <xf numFmtId="0" fontId="125" fillId="45" borderId="22" xfId="0" applyFont="1" applyFill="1" applyBorder="1" applyAlignment="1">
      <alignment horizontal="center"/>
    </xf>
    <xf numFmtId="0" fontId="0" fillId="0" borderId="22" xfId="0" applyBorder="1"/>
  </cellXfs>
  <cellStyles count="2">
    <cellStyle name="Normal" xfId="0" builtinId="0"/>
    <cellStyle name="Normal 2" xfId="1" xr:uid="{729026FF-96BB-4A98-8CC8-5634E978E4AF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Arial"/>
        <family val="2"/>
        <scheme val="none"/>
      </font>
      <fill>
        <patternFill patternType="solid">
          <fgColor indexed="64"/>
          <bgColor rgb="FFD6E4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Arial"/>
        <family val="2"/>
        <scheme val="none"/>
      </font>
      <fill>
        <patternFill patternType="solid">
          <fgColor indexed="64"/>
          <bgColor rgb="FFD6E4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UTIM — Ambulancias a reponer por año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'Plan Renovación'!$P$4</c:f>
              <c:strCache>
                <c:ptCount val="1"/>
                <c:pt idx="0">
                  <c:v>Minería - Vicuña</c:v>
                </c:pt>
              </c:strCache>
            </c:strRef>
          </c:tx>
          <c:spPr>
            <a:solidFill>
              <a:srgbClr val="5B2A8C"/>
            </a:solidFill>
            <a:ln>
              <a:solidFill>
                <a:srgbClr val="5B2A8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Renovación'!$O$5:$O$15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Renovación'!$P$5:$P$15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5B2A8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69-4C66-A5B8-7A2D030EC53A}"/>
            </c:ext>
          </c:extLst>
        </c:ser>
        <c:ser>
          <c:idx val="1"/>
          <c:order val="1"/>
          <c:tx>
            <c:strRef>
              <c:f>'Plan Renovación'!$Q$4</c:f>
              <c:strCache>
                <c:ptCount val="1"/>
                <c:pt idx="0">
                  <c:v>Minería - Otros</c:v>
                </c:pt>
              </c:strCache>
            </c:strRef>
          </c:tx>
          <c:spPr>
            <a:solidFill>
              <a:srgbClr val="1F7A8C"/>
            </a:solidFill>
            <a:ln>
              <a:solidFill>
                <a:srgbClr val="1F7A8C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Renovación'!$O$5:$O$15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Renovación'!$Q$5:$Q$15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7A8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369-4C66-A5B8-7A2D030EC53A}"/>
            </c:ext>
          </c:extLst>
        </c:ser>
        <c:ser>
          <c:idx val="2"/>
          <c:order val="2"/>
          <c:tx>
            <c:strRef>
              <c:f>'Plan Renovación'!$R$4</c:f>
              <c:strCache>
                <c:ptCount val="1"/>
                <c:pt idx="0">
                  <c:v>Petróleo</c:v>
                </c:pt>
              </c:strCache>
            </c:strRef>
          </c:tx>
          <c:spPr>
            <a:solidFill>
              <a:srgbClr val="B87800"/>
            </a:solidFill>
            <a:ln>
              <a:solidFill>
                <a:srgbClr val="B878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Renovación'!$O$5:$O$15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Renovación'!$R$5:$R$15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B878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369-4C66-A5B8-7A2D030EC53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Año de reposición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Unidades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 FLOTA — Reposiciones por año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'Plan Renovación'!$U$4</c:f>
              <c:strCache>
                <c:ptCount val="1"/>
                <c:pt idx="0">
                  <c:v>Minería - Vicuña</c:v>
                </c:pt>
              </c:strCache>
            </c:strRef>
          </c:tx>
          <c:spPr>
            <a:solidFill>
              <a:srgbClr val="4F81BD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Renovación'!$T$5:$T$15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Renovación'!$U$5:$U$15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prstDash val="solid"/>
                    <a:round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3D-47D9-86D1-B1CD77872EC8}"/>
            </c:ext>
          </c:extLst>
        </c:ser>
        <c:ser>
          <c:idx val="1"/>
          <c:order val="1"/>
          <c:tx>
            <c:strRef>
              <c:f>'Plan Renovación'!$V$4</c:f>
              <c:strCache>
                <c:ptCount val="1"/>
                <c:pt idx="0">
                  <c:v>Minería - Otros</c:v>
                </c:pt>
              </c:strCache>
            </c:strRef>
          </c:tx>
          <c:spPr>
            <a:solidFill>
              <a:srgbClr val="9BBB59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Renovación'!$T$5:$T$15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Renovación'!$V$5:$V$15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prstDash val="solid"/>
                    <a:round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63D-47D9-86D1-B1CD77872EC8}"/>
            </c:ext>
          </c:extLst>
        </c:ser>
        <c:ser>
          <c:idx val="2"/>
          <c:order val="2"/>
          <c:tx>
            <c:strRef>
              <c:f>'Plan Renovación'!$W$4</c:f>
              <c:strCache>
                <c:ptCount val="1"/>
                <c:pt idx="0">
                  <c:v>Petróleo</c:v>
                </c:pt>
              </c:strCache>
            </c:strRef>
          </c:tx>
          <c:spPr>
            <a:solidFill>
              <a:srgbClr val="4BACC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'Plan Renovación'!$T$5:$T$15</c:f>
              <c:numCache>
                <c:formatCode>General</c:formatCode>
                <c:ptCount val="1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</c:numCache>
            </c:numRef>
          </c:cat>
          <c:val>
            <c:numRef>
              <c:f>'Plan Renovación'!$W$5:$W$15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prstDash val="solid"/>
                    <a:round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63D-47D9-86D1-B1CD77872EC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Año de reposición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Unidades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88900</xdr:colOff>
      <xdr:row>19</xdr:row>
      <xdr:rowOff>25400</xdr:rowOff>
    </xdr:from>
    <xdr:ext cx="720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óviles" displayName="TablaMóviles" ref="A2:U111">
  <autoFilter ref="A2:U111" xr:uid="{00000000-0009-0000-0100-000001000000}"/>
  <tableColumns count="21">
    <tableColumn id="1" xr3:uid="{00000000-0010-0000-0000-000001000000}" name="Región"/>
    <tableColumn id="2" xr3:uid="{00000000-0010-0000-0000-000002000000}" name="Vertical"/>
    <tableColumn id="3" xr3:uid="{00000000-0010-0000-0000-000003000000}" name="N° Interno"/>
    <tableColumn id="4" xr3:uid="{00000000-0010-0000-0000-000004000000}" name="Dominio"/>
    <tableColumn id="5" xr3:uid="{00000000-0010-0000-0000-000005000000}" name="Tipo"/>
    <tableColumn id="6" xr3:uid="{00000000-0010-0000-0000-000006000000}" name="Modelo"/>
    <tableColumn id="7" xr3:uid="{00000000-0010-0000-0000-000007000000}" name="Año"/>
    <tableColumn id="8" xr3:uid="{00000000-0010-0000-0000-000008000000}" name="Habilitación"/>
    <tableColumn id="9" xr3:uid="{00000000-0010-0000-0000-000009000000}" name="Cliente"/>
    <tableColumn id="18" xr3:uid="{199ACD87-CBF7-4721-8AE3-1AF2D16463FE}" name="Área" dataDxfId="1"/>
    <tableColumn id="19" xr3:uid="{437653D0-E4BA-4A42-BCDB-256762D3AE45}" name="Carácter" dataDxfId="0"/>
    <tableColumn id="10" xr3:uid="{00000000-0010-0000-0000-00000A000000}" name="Provincia"/>
    <tableColumn id="11" xr3:uid="{00000000-0010-0000-0000-00000B000000}" name="Estado"/>
    <tableColumn id="12" xr3:uid="{00000000-0010-0000-0000-00000C000000}" name="Clasificación"/>
    <tableColumn id="13" xr3:uid="{00000000-0010-0000-0000-00000D000000}" name="Flota"/>
    <tableColumn id="14" xr3:uid="{00000000-0010-0000-0000-00000E000000}" name="Antigüedad"/>
    <tableColumn id="15" xr3:uid="{00000000-0010-0000-0000-00000F000000}" name="Límite (años)"/>
    <tableColumn id="16" xr3:uid="{00000000-0010-0000-0000-000010000000}" name="Año Repo. Base"/>
    <tableColumn id="17" xr3:uid="{00000000-0010-0000-0000-000011000000}" name="Año Repo. Opt."/>
    <tableColumn id="20" xr3:uid="{BA077BEB-BE05-4FA4-B898-00F8DC4B1F6E}" name="Columna1"/>
    <tableColumn id="21" xr3:uid="{B1164A86-2877-44C6-8301-A09FC131FFDD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C35977-F588-4C91-9DB2-B4975BA0915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376d907-0c9a-477e-a1c5-3b8da33c938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K15" sqref="K15"/>
    </sheetView>
  </sheetViews>
  <sheetFormatPr baseColWidth="10" defaultColWidth="8.7265625" defaultRowHeight="14.5" x14ac:dyDescent="0.35"/>
  <cols>
    <col min="1" max="1" width="14" customWidth="1"/>
    <col min="2" max="2" width="9" customWidth="1"/>
    <col min="3" max="18" width="6" customWidth="1"/>
  </cols>
  <sheetData>
    <row r="1" spans="1:16" ht="32.15" customHeight="1" x14ac:dyDescent="0.35">
      <c r="A1" s="349" t="s">
        <v>0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</row>
    <row r="2" spans="1:16" ht="22" customHeight="1" x14ac:dyDescent="0.35">
      <c r="A2" s="350" t="s">
        <v>1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</row>
    <row r="3" spans="1:16" ht="6" customHeight="1" x14ac:dyDescent="0.35"/>
    <row r="4" spans="1:16" ht="28" customHeight="1" x14ac:dyDescent="0.35">
      <c r="A4" s="14" t="s">
        <v>2</v>
      </c>
      <c r="B4" s="14" t="s">
        <v>3</v>
      </c>
      <c r="C4" s="353" t="s">
        <v>4</v>
      </c>
      <c r="D4" s="339"/>
      <c r="E4" s="347" t="s">
        <v>5</v>
      </c>
      <c r="F4" s="339"/>
      <c r="G4" s="346" t="s">
        <v>6</v>
      </c>
      <c r="H4" s="339"/>
      <c r="I4" s="348" t="s">
        <v>7</v>
      </c>
      <c r="J4" s="339"/>
      <c r="K4" s="351" t="s">
        <v>8</v>
      </c>
      <c r="L4" s="339"/>
      <c r="M4" s="352" t="s">
        <v>9</v>
      </c>
      <c r="N4" s="339"/>
      <c r="O4" s="352" t="s">
        <v>10</v>
      </c>
      <c r="P4" s="339"/>
    </row>
    <row r="5" spans="1:16" ht="22" customHeight="1" x14ac:dyDescent="0.35">
      <c r="A5" s="15">
        <v>2017</v>
      </c>
      <c r="B5" s="15">
        <v>12</v>
      </c>
      <c r="C5" s="16"/>
      <c r="D5" s="16"/>
      <c r="E5" s="16"/>
      <c r="F5" s="16"/>
      <c r="G5" s="17">
        <v>1</v>
      </c>
      <c r="H5" s="18" t="s">
        <v>11</v>
      </c>
      <c r="I5" s="19">
        <v>3</v>
      </c>
      <c r="J5" s="20" t="s">
        <v>12</v>
      </c>
      <c r="K5" s="19">
        <v>6</v>
      </c>
      <c r="L5" s="20" t="s">
        <v>12</v>
      </c>
      <c r="M5" s="19">
        <v>1</v>
      </c>
      <c r="N5" s="20" t="s">
        <v>12</v>
      </c>
      <c r="O5" s="21">
        <v>1</v>
      </c>
      <c r="P5" s="22" t="s">
        <v>13</v>
      </c>
    </row>
    <row r="6" spans="1:16" ht="22" customHeight="1" x14ac:dyDescent="0.35">
      <c r="A6" s="15">
        <v>2018</v>
      </c>
      <c r="B6" s="15">
        <v>2</v>
      </c>
      <c r="C6" s="23">
        <v>1</v>
      </c>
      <c r="D6" s="24" t="s">
        <v>14</v>
      </c>
      <c r="E6" s="25"/>
      <c r="F6" s="25"/>
      <c r="G6" s="25"/>
      <c r="H6" s="25"/>
      <c r="I6" s="25"/>
      <c r="J6" s="25"/>
      <c r="K6" s="26">
        <v>1</v>
      </c>
      <c r="L6" s="27" t="s">
        <v>15</v>
      </c>
      <c r="M6" s="25"/>
      <c r="N6" s="25"/>
      <c r="O6" s="25"/>
      <c r="P6" s="25"/>
    </row>
    <row r="7" spans="1:16" ht="22" customHeight="1" x14ac:dyDescent="0.35">
      <c r="A7" s="15">
        <v>2019</v>
      </c>
      <c r="B7" s="15">
        <v>25</v>
      </c>
      <c r="C7" s="19">
        <v>11</v>
      </c>
      <c r="D7" s="20" t="s">
        <v>12</v>
      </c>
      <c r="E7" s="17">
        <v>1</v>
      </c>
      <c r="F7" s="18" t="s">
        <v>16</v>
      </c>
      <c r="G7" s="17">
        <v>4</v>
      </c>
      <c r="H7" s="18" t="s">
        <v>17</v>
      </c>
      <c r="I7" s="28">
        <v>3</v>
      </c>
      <c r="J7" s="29" t="s">
        <v>18</v>
      </c>
      <c r="K7" s="28">
        <v>5</v>
      </c>
      <c r="L7" s="29" t="s">
        <v>18</v>
      </c>
      <c r="M7" s="16"/>
      <c r="N7" s="16"/>
      <c r="O7" s="21">
        <v>1</v>
      </c>
      <c r="P7" s="22" t="s">
        <v>13</v>
      </c>
    </row>
    <row r="8" spans="1:16" ht="22" customHeight="1" x14ac:dyDescent="0.35">
      <c r="A8" s="15">
        <v>2022</v>
      </c>
      <c r="B8" s="15">
        <v>7</v>
      </c>
      <c r="C8" s="25"/>
      <c r="D8" s="25"/>
      <c r="E8" s="25"/>
      <c r="F8" s="25"/>
      <c r="G8" s="30">
        <v>6</v>
      </c>
      <c r="H8" s="31" t="s">
        <v>19</v>
      </c>
      <c r="I8" s="32">
        <v>1</v>
      </c>
      <c r="J8" s="33" t="s">
        <v>20</v>
      </c>
      <c r="K8" s="25"/>
      <c r="L8" s="25"/>
      <c r="M8" s="25"/>
      <c r="N8" s="25"/>
      <c r="O8" s="25"/>
      <c r="P8" s="25"/>
    </row>
    <row r="9" spans="1:16" ht="22" customHeight="1" x14ac:dyDescent="0.35">
      <c r="A9" s="15">
        <v>2023</v>
      </c>
      <c r="B9" s="15">
        <v>17</v>
      </c>
      <c r="C9" s="32">
        <v>10</v>
      </c>
      <c r="D9" s="33" t="s">
        <v>21</v>
      </c>
      <c r="E9" s="16"/>
      <c r="F9" s="16"/>
      <c r="G9" s="23">
        <v>4</v>
      </c>
      <c r="H9" s="24" t="s">
        <v>14</v>
      </c>
      <c r="I9" s="32">
        <v>2</v>
      </c>
      <c r="J9" s="33" t="s">
        <v>22</v>
      </c>
      <c r="K9" s="32">
        <v>1</v>
      </c>
      <c r="L9" s="33" t="s">
        <v>22</v>
      </c>
      <c r="M9" s="16"/>
      <c r="N9" s="16"/>
      <c r="O9" s="16"/>
      <c r="P9" s="16"/>
    </row>
    <row r="10" spans="1:16" ht="22" customHeight="1" x14ac:dyDescent="0.35">
      <c r="A10" s="15">
        <v>2024</v>
      </c>
      <c r="B10" s="15">
        <v>14</v>
      </c>
      <c r="C10" s="32">
        <v>1</v>
      </c>
      <c r="D10" s="33" t="s">
        <v>20</v>
      </c>
      <c r="E10" s="28">
        <v>3</v>
      </c>
      <c r="F10" s="29" t="s">
        <v>18</v>
      </c>
      <c r="G10" s="19">
        <v>6</v>
      </c>
      <c r="H10" s="20" t="s">
        <v>12</v>
      </c>
      <c r="I10" s="32">
        <v>4</v>
      </c>
      <c r="J10" s="33" t="s">
        <v>23</v>
      </c>
      <c r="K10" s="25"/>
      <c r="L10" s="25"/>
      <c r="M10" s="25"/>
      <c r="N10" s="25"/>
      <c r="O10" s="25"/>
      <c r="P10" s="25"/>
    </row>
    <row r="11" spans="1:16" ht="22" customHeight="1" x14ac:dyDescent="0.35">
      <c r="A11" s="15">
        <v>2025</v>
      </c>
      <c r="B11" s="15">
        <v>7</v>
      </c>
      <c r="C11" s="16"/>
      <c r="D11" s="16"/>
      <c r="E11" s="16"/>
      <c r="F11" s="16"/>
      <c r="G11" s="26">
        <v>5</v>
      </c>
      <c r="H11" s="27" t="s">
        <v>15</v>
      </c>
      <c r="I11" s="32">
        <v>1</v>
      </c>
      <c r="J11" s="33" t="s">
        <v>24</v>
      </c>
      <c r="K11" s="16"/>
      <c r="L11" s="16"/>
      <c r="M11" s="32">
        <v>1</v>
      </c>
      <c r="N11" s="33" t="s">
        <v>24</v>
      </c>
      <c r="O11" s="16"/>
      <c r="P11" s="16"/>
    </row>
    <row r="12" spans="1:16" ht="5.15" customHeight="1" x14ac:dyDescent="0.35"/>
    <row r="13" spans="1:16" ht="24" customHeight="1" x14ac:dyDescent="0.35">
      <c r="A13" s="34" t="s">
        <v>25</v>
      </c>
      <c r="B13" s="34">
        <v>84</v>
      </c>
      <c r="C13" s="341">
        <v>23</v>
      </c>
      <c r="D13" s="339"/>
      <c r="E13" s="340">
        <v>4</v>
      </c>
      <c r="F13" s="339"/>
      <c r="G13" s="343">
        <v>26</v>
      </c>
      <c r="H13" s="339"/>
      <c r="I13" s="342">
        <v>14</v>
      </c>
      <c r="J13" s="339"/>
      <c r="K13" s="344">
        <v>13</v>
      </c>
      <c r="L13" s="339"/>
      <c r="M13" s="345">
        <v>2</v>
      </c>
      <c r="N13" s="339"/>
      <c r="O13" s="345">
        <v>2</v>
      </c>
      <c r="P13" s="339"/>
    </row>
    <row r="15" spans="1:16" ht="18" customHeight="1" x14ac:dyDescent="0.35">
      <c r="A15" s="35" t="s">
        <v>26</v>
      </c>
      <c r="B15" s="36" t="s">
        <v>27</v>
      </c>
      <c r="C15" s="37" t="s">
        <v>28</v>
      </c>
      <c r="D15" s="38" t="s">
        <v>29</v>
      </c>
      <c r="E15" s="39" t="s">
        <v>30</v>
      </c>
      <c r="F15" s="40" t="s">
        <v>31</v>
      </c>
    </row>
    <row r="18" spans="1:18" ht="26.15" customHeight="1" x14ac:dyDescent="0.35">
      <c r="A18" s="338" t="s">
        <v>32</v>
      </c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</row>
    <row r="19" spans="1:18" ht="18" customHeight="1" x14ac:dyDescent="0.35">
      <c r="A19" s="41" t="s">
        <v>33</v>
      </c>
      <c r="B19" s="41" t="s">
        <v>25</v>
      </c>
      <c r="C19" s="42" t="s">
        <v>34</v>
      </c>
      <c r="D19" s="42" t="s">
        <v>35</v>
      </c>
      <c r="E19" s="42" t="s">
        <v>36</v>
      </c>
      <c r="F19" s="42" t="s">
        <v>37</v>
      </c>
      <c r="G19" s="42" t="s">
        <v>38</v>
      </c>
      <c r="H19" s="43" t="s">
        <v>39</v>
      </c>
      <c r="I19" s="44" t="s">
        <v>40</v>
      </c>
      <c r="J19" s="45" t="s">
        <v>41</v>
      </c>
      <c r="K19" s="41" t="s">
        <v>42</v>
      </c>
      <c r="L19" s="41" t="s">
        <v>43</v>
      </c>
      <c r="M19" s="41" t="s">
        <v>44</v>
      </c>
      <c r="N19" s="41" t="s">
        <v>45</v>
      </c>
      <c r="O19" s="41" t="s">
        <v>46</v>
      </c>
      <c r="P19" s="41" t="s">
        <v>47</v>
      </c>
      <c r="Q19" s="41" t="s">
        <v>48</v>
      </c>
      <c r="R19" s="41" t="s">
        <v>49</v>
      </c>
    </row>
    <row r="20" spans="1:18" ht="16" customHeight="1" x14ac:dyDescent="0.35">
      <c r="A20" s="46" t="s">
        <v>50</v>
      </c>
      <c r="B20" s="47">
        <v>23</v>
      </c>
      <c r="C20" s="16"/>
      <c r="D20" s="16"/>
      <c r="E20" s="16"/>
      <c r="F20" s="16"/>
      <c r="G20" s="16"/>
      <c r="H20" s="16"/>
      <c r="I20" s="48">
        <v>1</v>
      </c>
      <c r="J20" s="49">
        <v>11</v>
      </c>
      <c r="K20" s="16"/>
      <c r="L20" s="16"/>
      <c r="M20" s="16"/>
      <c r="N20" s="50">
        <v>10</v>
      </c>
      <c r="O20" s="50">
        <v>1</v>
      </c>
      <c r="P20" s="16"/>
      <c r="Q20" s="16"/>
      <c r="R20" s="16"/>
    </row>
    <row r="21" spans="1:18" ht="16" customHeight="1" x14ac:dyDescent="0.35">
      <c r="A21" s="51" t="s">
        <v>51</v>
      </c>
      <c r="B21" s="52">
        <v>4</v>
      </c>
      <c r="C21" s="25"/>
      <c r="D21" s="25"/>
      <c r="E21" s="25"/>
      <c r="F21" s="25"/>
      <c r="G21" s="53">
        <v>1</v>
      </c>
      <c r="H21" s="25"/>
      <c r="I21" s="25"/>
      <c r="J21" s="25"/>
      <c r="K21" s="25"/>
      <c r="L21" s="54">
        <v>3</v>
      </c>
      <c r="M21" s="25"/>
      <c r="N21" s="25"/>
      <c r="O21" s="25"/>
      <c r="P21" s="25"/>
      <c r="Q21" s="25"/>
      <c r="R21" s="25"/>
    </row>
    <row r="22" spans="1:18" ht="16" customHeight="1" x14ac:dyDescent="0.35">
      <c r="A22" s="55" t="s">
        <v>52</v>
      </c>
      <c r="B22" s="56">
        <v>26</v>
      </c>
      <c r="C22" s="53">
        <v>1</v>
      </c>
      <c r="D22" s="16"/>
      <c r="E22" s="53">
        <v>4</v>
      </c>
      <c r="F22" s="16"/>
      <c r="G22" s="16"/>
      <c r="H22" s="57">
        <v>6</v>
      </c>
      <c r="I22" s="48">
        <v>4</v>
      </c>
      <c r="J22" s="49">
        <v>6</v>
      </c>
      <c r="K22" s="58">
        <v>5</v>
      </c>
      <c r="L22" s="16"/>
      <c r="M22" s="16"/>
      <c r="N22" s="16"/>
      <c r="O22" s="16"/>
      <c r="P22" s="16"/>
      <c r="Q22" s="16"/>
      <c r="R22" s="16"/>
    </row>
    <row r="23" spans="1:18" ht="16" customHeight="1" x14ac:dyDescent="0.35">
      <c r="A23" s="59" t="s">
        <v>53</v>
      </c>
      <c r="B23" s="40">
        <v>14</v>
      </c>
      <c r="C23" s="25"/>
      <c r="D23" s="25"/>
      <c r="E23" s="25"/>
      <c r="F23" s="25"/>
      <c r="G23" s="25"/>
      <c r="H23" s="25"/>
      <c r="I23" s="25"/>
      <c r="J23" s="49">
        <v>3</v>
      </c>
      <c r="K23" s="25"/>
      <c r="L23" s="54">
        <v>3</v>
      </c>
      <c r="M23" s="25"/>
      <c r="N23" s="25"/>
      <c r="O23" s="50">
        <v>1</v>
      </c>
      <c r="P23" s="50">
        <v>2</v>
      </c>
      <c r="Q23" s="50">
        <v>4</v>
      </c>
      <c r="R23" s="50">
        <v>1</v>
      </c>
    </row>
    <row r="24" spans="1:18" ht="16" customHeight="1" x14ac:dyDescent="0.35">
      <c r="A24" s="60" t="s">
        <v>54</v>
      </c>
      <c r="B24" s="61">
        <v>13</v>
      </c>
      <c r="C24" s="16"/>
      <c r="D24" s="16"/>
      <c r="E24" s="16"/>
      <c r="F24" s="16"/>
      <c r="G24" s="16"/>
      <c r="H24" s="16"/>
      <c r="I24" s="16"/>
      <c r="J24" s="49">
        <v>6</v>
      </c>
      <c r="K24" s="58">
        <v>1</v>
      </c>
      <c r="L24" s="54">
        <v>5</v>
      </c>
      <c r="M24" s="16"/>
      <c r="N24" s="16"/>
      <c r="O24" s="16"/>
      <c r="P24" s="50">
        <v>1</v>
      </c>
      <c r="Q24" s="16"/>
      <c r="R24" s="16"/>
    </row>
    <row r="25" spans="1:18" ht="16" customHeight="1" x14ac:dyDescent="0.35">
      <c r="A25" s="62" t="s">
        <v>55</v>
      </c>
      <c r="B25" s="63">
        <v>2</v>
      </c>
      <c r="C25" s="25"/>
      <c r="D25" s="25"/>
      <c r="E25" s="25"/>
      <c r="F25" s="25"/>
      <c r="G25" s="25"/>
      <c r="H25" s="25"/>
      <c r="I25" s="25"/>
      <c r="J25" s="49">
        <v>1</v>
      </c>
      <c r="K25" s="25"/>
      <c r="L25" s="25"/>
      <c r="M25" s="25"/>
      <c r="N25" s="25"/>
      <c r="O25" s="25"/>
      <c r="P25" s="25"/>
      <c r="Q25" s="25"/>
      <c r="R25" s="50">
        <v>1</v>
      </c>
    </row>
    <row r="26" spans="1:18" ht="22" customHeight="1" x14ac:dyDescent="0.35">
      <c r="A26" s="64" t="s">
        <v>56</v>
      </c>
      <c r="B26" s="34">
        <v>82</v>
      </c>
      <c r="C26" s="65">
        <v>1</v>
      </c>
      <c r="D26" s="66"/>
      <c r="E26" s="65">
        <v>4</v>
      </c>
      <c r="F26" s="66"/>
      <c r="G26" s="65">
        <v>1</v>
      </c>
      <c r="H26" s="67">
        <v>6</v>
      </c>
      <c r="I26" s="68">
        <v>5</v>
      </c>
      <c r="J26" s="69">
        <v>27</v>
      </c>
      <c r="K26" s="70">
        <v>6</v>
      </c>
      <c r="L26" s="70">
        <v>11</v>
      </c>
      <c r="M26" s="66"/>
      <c r="N26" s="70">
        <v>10</v>
      </c>
      <c r="O26" s="70">
        <v>2</v>
      </c>
      <c r="P26" s="70">
        <v>3</v>
      </c>
      <c r="Q26" s="70">
        <v>4</v>
      </c>
      <c r="R26" s="70">
        <v>2</v>
      </c>
    </row>
  </sheetData>
  <mergeCells count="17">
    <mergeCell ref="G4:H4"/>
    <mergeCell ref="E4:F4"/>
    <mergeCell ref="M13:N13"/>
    <mergeCell ref="I4:J4"/>
    <mergeCell ref="A1:P1"/>
    <mergeCell ref="A2:P2"/>
    <mergeCell ref="K4:L4"/>
    <mergeCell ref="O4:P4"/>
    <mergeCell ref="M4:N4"/>
    <mergeCell ref="C4:D4"/>
    <mergeCell ref="A18:P18"/>
    <mergeCell ref="E13:F13"/>
    <mergeCell ref="C13:D13"/>
    <mergeCell ref="I13:J13"/>
    <mergeCell ref="G13:H13"/>
    <mergeCell ref="K13:L13"/>
    <mergeCell ref="O13:P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F67E-0056-4E9D-BF10-E953A3A2229A}">
  <dimension ref="A1:L55"/>
  <sheetViews>
    <sheetView showGridLines="0" zoomScaleNormal="100" workbookViewId="0">
      <pane xSplit="3" ySplit="6" topLeftCell="D15" activePane="bottomRight" state="frozen"/>
      <selection pane="topRight" activeCell="D1" sqref="D1"/>
      <selection pane="bottomLeft" activeCell="A7" sqref="A7"/>
      <selection pane="bottomRight" activeCell="P10" sqref="P10"/>
    </sheetView>
  </sheetViews>
  <sheetFormatPr baseColWidth="10" defaultColWidth="8.54296875" defaultRowHeight="14.5" x14ac:dyDescent="0.35"/>
  <cols>
    <col min="1" max="1" width="16" style="71" customWidth="1"/>
    <col min="2" max="2" width="24" style="71" customWidth="1"/>
    <col min="3" max="3" width="8" style="71" customWidth="1"/>
    <col min="4" max="11" width="9" style="71" customWidth="1"/>
    <col min="12" max="12" width="8" style="71" customWidth="1"/>
    <col min="13" max="16384" width="8.54296875" style="71"/>
  </cols>
  <sheetData>
    <row r="1" spans="1:12" ht="30" customHeight="1" x14ac:dyDescent="0.35">
      <c r="A1" s="354" t="s">
        <v>57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</row>
    <row r="2" spans="1:12" ht="15" customHeight="1" x14ac:dyDescent="0.35">
      <c r="A2" s="355" t="str">
        <f>C55&amp;" móviles · "&amp;C26&amp;" UTIM · "&amp;(C53)&amp;" Logística (incluye Otros)"</f>
        <v>109 móviles · 77 UTIM · 32 Logística (incluye Otros)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2" ht="6" customHeight="1" x14ac:dyDescent="0.35"/>
    <row r="4" spans="1:12" ht="13.5" customHeight="1" x14ac:dyDescent="0.35">
      <c r="A4" s="110" t="s">
        <v>58</v>
      </c>
      <c r="B4" s="111" t="s">
        <v>59</v>
      </c>
      <c r="C4" s="267" t="s">
        <v>60</v>
      </c>
      <c r="D4" s="114" t="s">
        <v>61</v>
      </c>
      <c r="E4" s="115" t="s">
        <v>62</v>
      </c>
    </row>
    <row r="5" spans="1:12" ht="21.75" customHeight="1" x14ac:dyDescent="0.35">
      <c r="A5" s="356" t="s">
        <v>63</v>
      </c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</row>
    <row r="6" spans="1:12" ht="25.5" customHeight="1" thickBot="1" x14ac:dyDescent="0.4">
      <c r="A6" s="263" t="s">
        <v>64</v>
      </c>
      <c r="B6" s="263" t="s">
        <v>65</v>
      </c>
      <c r="C6" s="257" t="s">
        <v>66</v>
      </c>
      <c r="D6" s="262">
        <v>2017</v>
      </c>
      <c r="E6" s="261">
        <v>2018</v>
      </c>
      <c r="F6" s="261">
        <v>2019</v>
      </c>
      <c r="G6" s="260">
        <v>2021</v>
      </c>
      <c r="H6" s="260">
        <v>2022</v>
      </c>
      <c r="I6" s="259">
        <v>2023</v>
      </c>
      <c r="J6" s="259">
        <v>2024</v>
      </c>
      <c r="K6" s="258">
        <v>2025</v>
      </c>
      <c r="L6" s="257" t="s">
        <v>66</v>
      </c>
    </row>
    <row r="7" spans="1:12" ht="15.75" customHeight="1" x14ac:dyDescent="0.35">
      <c r="A7" s="256" t="s">
        <v>67</v>
      </c>
      <c r="B7" s="253" t="s">
        <v>68</v>
      </c>
      <c r="C7" s="277">
        <f t="shared" ref="C7:C13" si="0">SUM(D7:K7)</f>
        <v>24</v>
      </c>
      <c r="D7" s="269">
        <f>COUNTIFS(TablaMóviles[Región],"UTIM NQN",TablaMóviles[Año],2017,TablaMóviles[Cliente],"YPF")</f>
        <v>0</v>
      </c>
      <c r="E7" s="269">
        <f>COUNTIFS(TablaMóviles[Región],"UTIM NQN",TablaMóviles[Año],2018,TablaMóviles[Cliente],"YPF")</f>
        <v>0</v>
      </c>
      <c r="F7" s="270">
        <f>COUNTIFS(TablaMóviles[Región],"UTIM NQN",TablaMóviles[Año],2019,TablaMóviles[Cliente],"YPF")</f>
        <v>11</v>
      </c>
      <c r="G7" s="269">
        <f>COUNTIFS(TablaMóviles[Región],"UTIM NQN",TablaMóviles[Año],2021,TablaMóviles[Cliente],"YPF")</f>
        <v>0</v>
      </c>
      <c r="H7" s="269">
        <f>COUNTIFS(TablaMóviles[Región],"UTIM NQN",TablaMóviles[Año],2022,TablaMóviles[Cliente],"YPF")</f>
        <v>0</v>
      </c>
      <c r="I7" s="271">
        <f>COUNTIFS(TablaMóviles[Región],"UTIM NQN",TablaMóviles[Año],2023,TablaMóviles[Cliente],"YPF")</f>
        <v>10</v>
      </c>
      <c r="J7" s="271">
        <f>COUNTIFS(TablaMóviles[Región],"UTIM NQN",TablaMóviles[Año],2024,TablaMóviles[Cliente],"YPF")</f>
        <v>3</v>
      </c>
      <c r="K7" s="269">
        <f>COUNTIFS(TablaMóviles[Región],"UTIM NQN",TablaMóviles[Año],2025,TablaMóviles[Cliente],"YPF")</f>
        <v>0</v>
      </c>
      <c r="L7" s="277">
        <f t="shared" ref="L7:L13" si="1">SUM(D7:K7)</f>
        <v>24</v>
      </c>
    </row>
    <row r="8" spans="1:12" ht="15.75" customHeight="1" x14ac:dyDescent="0.35">
      <c r="A8" s="254"/>
      <c r="B8" s="253" t="s">
        <v>160</v>
      </c>
      <c r="C8" s="277">
        <f t="shared" si="0"/>
        <v>4</v>
      </c>
      <c r="D8" s="272">
        <f>COUNTIFS(TablaMóviles[Región],"UTIM NQN",TablaMóviles[Año],D$6,TablaMóviles[Cliente],"TECHINT")</f>
        <v>2</v>
      </c>
      <c r="E8" s="269">
        <f>COUNTIFS(TablaMóviles[Región],"UTIM NQN",TablaMóviles[Año],E$6,TablaMóviles[Cliente],"TECHINT")</f>
        <v>0</v>
      </c>
      <c r="F8" s="270">
        <f>COUNTIFS(TablaMóviles[Región],"UTIM NQN",TablaMóviles[Año],F$6,TablaMóviles[Cliente],"TECHINT")</f>
        <v>2</v>
      </c>
      <c r="G8" s="269">
        <f>COUNTIFS(TablaMóviles[Región],"UTIM NQN",TablaMóviles[Año],G$6,TablaMóviles[Cliente],"TECHINT")</f>
        <v>0</v>
      </c>
      <c r="H8" s="269">
        <f>COUNTIFS(TablaMóviles[Región],"UTIM NQN",TablaMóviles[Año],H$6,TablaMóviles[Cliente],"TECHINT")</f>
        <v>0</v>
      </c>
      <c r="I8" s="269">
        <f>COUNTIFS(TablaMóviles[Región],"UTIM NQN",TablaMóviles[Año],I$6,TablaMóviles[Cliente],"TECHINT")</f>
        <v>0</v>
      </c>
      <c r="J8" s="269">
        <f>COUNTIFS(TablaMóviles[Región],"UTIM NQN",TablaMóviles[Año],J$6,TablaMóviles[Cliente],"TECHINT")</f>
        <v>0</v>
      </c>
      <c r="K8" s="269">
        <f>COUNTIFS(TablaMóviles[Región],"UTIM NQN",TablaMóviles[Año],K$6,TablaMóviles[Cliente],"TECHINT")</f>
        <v>0</v>
      </c>
      <c r="L8" s="277">
        <f t="shared" si="1"/>
        <v>4</v>
      </c>
    </row>
    <row r="9" spans="1:12" ht="15.75" customHeight="1" x14ac:dyDescent="0.35">
      <c r="A9" s="254"/>
      <c r="B9" s="253" t="s">
        <v>70</v>
      </c>
      <c r="C9" s="277">
        <f t="shared" si="0"/>
        <v>4</v>
      </c>
      <c r="D9" s="269">
        <f>COUNTIFS(TablaMóviles[Región],"UTIM NQN",TablaMóviles[Año],2017,TablaMóviles[Cliente],"VISTA OIL")</f>
        <v>0</v>
      </c>
      <c r="E9" s="269">
        <f>COUNTIFS(TablaMóviles[Región],"UTIM NQN",TablaMóviles[Año],2018,TablaMóviles[Cliente],"VISTA OIL")</f>
        <v>0</v>
      </c>
      <c r="F9" s="270">
        <f>COUNTIFS(TablaMóviles[Región],"UTIM NQN",TablaMóviles[Año],2019,TablaMóviles[Cliente],"VISTA OIL")</f>
        <v>1</v>
      </c>
      <c r="G9" s="269">
        <f>COUNTIFS(TablaMóviles[Región],"UTIM NQN",TablaMóviles[Año],2021,TablaMóviles[Cliente],"VISTA OIL")</f>
        <v>0</v>
      </c>
      <c r="H9" s="269">
        <f>COUNTIFS(TablaMóviles[Región],"UTIM NQN",TablaMóviles[Año],2022,TablaMóviles[Cliente],"VISTA OIL")</f>
        <v>0</v>
      </c>
      <c r="I9" s="269">
        <f>COUNTIFS(TablaMóviles[Región],"UTIM NQN",TablaMóviles[Año],2023,TablaMóviles[Cliente],"VISTA OIL")</f>
        <v>0</v>
      </c>
      <c r="J9" s="271">
        <f>COUNTIFS(TablaMóviles[Región],"UTIM NQN",TablaMóviles[Año],2024,TablaMóviles[Cliente],"VISTA OIL")</f>
        <v>3</v>
      </c>
      <c r="K9" s="269">
        <f>COUNTIFS(TablaMóviles[Región],"UTIM NQN",TablaMóviles[Año],2025,TablaMóviles[Cliente],"VISTA OIL")</f>
        <v>0</v>
      </c>
      <c r="L9" s="277">
        <f t="shared" si="1"/>
        <v>4</v>
      </c>
    </row>
    <row r="10" spans="1:12" ht="15.75" customHeight="1" x14ac:dyDescent="0.35">
      <c r="A10" s="254"/>
      <c r="B10" s="253" t="s">
        <v>73</v>
      </c>
      <c r="C10" s="277">
        <f t="shared" si="0"/>
        <v>1</v>
      </c>
      <c r="D10" s="269">
        <f>COUNTIFS(TablaMóviles[Región],"UTIM NQN",TablaMóviles[Año],2017,TablaMóviles[Cliente],"ACONCAGUA")</f>
        <v>0</v>
      </c>
      <c r="E10" s="269">
        <f>COUNTIFS(TablaMóviles[Región],"UTIM NQN",TablaMóviles[Año],2018,TablaMóviles[Cliente],"ACONCAGUA")</f>
        <v>0</v>
      </c>
      <c r="F10" s="270">
        <f>COUNTIFS(TablaMóviles[Región],"UTIM NQN",TablaMóviles[Año],2019,TablaMóviles[Cliente],"ACONCAGUA")</f>
        <v>1</v>
      </c>
      <c r="G10" s="269">
        <f>COUNTIFS(TablaMóviles[Región],"UTIM NQN",TablaMóviles[Año],2021,TablaMóviles[Cliente],"ACONCAGUA")</f>
        <v>0</v>
      </c>
      <c r="H10" s="269">
        <f>COUNTIFS(TablaMóviles[Región],"UTIM NQN",TablaMóviles[Año],2022,TablaMóviles[Cliente],"ACONCAGUA")</f>
        <v>0</v>
      </c>
      <c r="I10" s="269">
        <f>COUNTIFS(TablaMóviles[Región],"UTIM NQN",TablaMóviles[Año],2023,TablaMóviles[Cliente],"ACONCAGUA")</f>
        <v>0</v>
      </c>
      <c r="J10" s="269">
        <f>COUNTIFS(TablaMóviles[Región],"UTIM NQN",TablaMóviles[Año],2024,TablaMóviles[Cliente],"ACONCAGUA")</f>
        <v>0</v>
      </c>
      <c r="K10" s="269">
        <f>COUNTIFS(TablaMóviles[Región],"UTIM NQN",TablaMóviles[Año],2025,TablaMóviles[Cliente],"ACONCAGUA")</f>
        <v>0</v>
      </c>
      <c r="L10" s="277">
        <f t="shared" si="1"/>
        <v>1</v>
      </c>
    </row>
    <row r="11" spans="1:12" ht="15.75" customHeight="1" x14ac:dyDescent="0.35">
      <c r="A11" s="254"/>
      <c r="B11" s="253" t="s">
        <v>75</v>
      </c>
      <c r="C11" s="277">
        <f t="shared" si="0"/>
        <v>1</v>
      </c>
      <c r="D11" s="269">
        <f>COUNTIFS(TablaMóviles[Región],"UTIM NQN",TablaMóviles[Año],2017,TablaMóviles[Cliente],"CAPEX")</f>
        <v>0</v>
      </c>
      <c r="E11" s="269">
        <f>COUNTIFS(TablaMóviles[Región],"UTIM NQN",TablaMóviles[Año],2018,TablaMóviles[Cliente],"CAPEX")</f>
        <v>0</v>
      </c>
      <c r="F11" s="269">
        <f>COUNTIFS(TablaMóviles[Región],"UTIM NQN",TablaMóviles[Año],2019,TablaMóviles[Cliente],"CAPEX")</f>
        <v>0</v>
      </c>
      <c r="G11" s="269">
        <f>COUNTIFS(TablaMóviles[Región],"UTIM NQN",TablaMóviles[Año],2021,TablaMóviles[Cliente],"CAPEX")</f>
        <v>0</v>
      </c>
      <c r="H11" s="269">
        <f>COUNTIFS(TablaMóviles[Región],"UTIM NQN",TablaMóviles[Año],2022,TablaMóviles[Cliente],"CAPEX")</f>
        <v>0</v>
      </c>
      <c r="I11" s="271">
        <f>COUNTIFS(TablaMóviles[Región],"UTIM NQN",TablaMóviles[Año],2023,TablaMóviles[Cliente],"CAPEX")</f>
        <v>1</v>
      </c>
      <c r="J11" s="269">
        <f>COUNTIFS(TablaMóviles[Región],"UTIM NQN",TablaMóviles[Año],2024,TablaMóviles[Cliente],"CAPEX")</f>
        <v>0</v>
      </c>
      <c r="K11" s="269">
        <f>COUNTIFS(TablaMóviles[Región],"UTIM NQN",TablaMóviles[Año],2025,TablaMóviles[Cliente],"CAPEX")</f>
        <v>0</v>
      </c>
      <c r="L11" s="277">
        <f t="shared" si="1"/>
        <v>1</v>
      </c>
    </row>
    <row r="12" spans="1:12" ht="15.75" customHeight="1" x14ac:dyDescent="0.35">
      <c r="A12" s="254"/>
      <c r="B12" s="253" t="s">
        <v>72</v>
      </c>
      <c r="C12" s="277">
        <f t="shared" si="0"/>
        <v>1</v>
      </c>
      <c r="D12" s="272">
        <f>COUNTIFS(TablaMóviles[Región],"UTIM NQN",TablaMóviles[Año],2017,TablaMóviles[Cliente],"GENNEIA")</f>
        <v>1</v>
      </c>
      <c r="E12" s="269">
        <f>COUNTIFS(TablaMóviles[Región],"UTIM NQN",TablaMóviles[Año],2018,TablaMóviles[Cliente],"GENNEIA")</f>
        <v>0</v>
      </c>
      <c r="F12" s="269">
        <f>COUNTIFS(TablaMóviles[Región],"UTIM NQN",TablaMóviles[Año],2019,TablaMóviles[Cliente],"GENNEIA")</f>
        <v>0</v>
      </c>
      <c r="G12" s="269">
        <f>COUNTIFS(TablaMóviles[Región],"UTIM NQN",TablaMóviles[Año],2021,TablaMóviles[Cliente],"GENNEIA")</f>
        <v>0</v>
      </c>
      <c r="H12" s="269">
        <f>COUNTIFS(TablaMóviles[Región],"UTIM NQN",TablaMóviles[Año],2022,TablaMóviles[Cliente],"GENNEIA")</f>
        <v>0</v>
      </c>
      <c r="I12" s="269">
        <f>COUNTIFS(TablaMóviles[Región],"UTIM NQN",TablaMóviles[Año],2023,TablaMóviles[Cliente],"GENNEIA")</f>
        <v>0</v>
      </c>
      <c r="J12" s="269">
        <f>COUNTIFS(TablaMóviles[Región],"UTIM NQN",TablaMóviles[Año],2024,TablaMóviles[Cliente],"GENNEIA")</f>
        <v>0</v>
      </c>
      <c r="K12" s="269">
        <f>COUNTIFS(TablaMóviles[Región],"UTIM NQN",TablaMóviles[Año],2025,TablaMóviles[Cliente],"GENNEIA")</f>
        <v>0</v>
      </c>
      <c r="L12" s="277">
        <f t="shared" si="1"/>
        <v>1</v>
      </c>
    </row>
    <row r="13" spans="1:12" ht="15.75" customHeight="1" x14ac:dyDescent="0.35">
      <c r="A13" s="254"/>
      <c r="B13" s="253" t="s">
        <v>74</v>
      </c>
      <c r="C13" s="277">
        <f t="shared" si="0"/>
        <v>1</v>
      </c>
      <c r="D13" s="269">
        <f>COUNTIFS(TablaMóviles[Región],"UTIM NQN",TablaMóviles[Año],2017,TablaMóviles[Cliente],"PECOM")</f>
        <v>0</v>
      </c>
      <c r="E13" s="269">
        <f>COUNTIFS(TablaMóviles[Región],"UTIM NQN",TablaMóviles[Año],2018,TablaMóviles[Cliente],"PECOM")</f>
        <v>0</v>
      </c>
      <c r="F13" s="270">
        <f>COUNTIFS(TablaMóviles[Región],"UTIM NQN",TablaMóviles[Año],2019,TablaMóviles[Cliente],"PECOM")</f>
        <v>1</v>
      </c>
      <c r="G13" s="269">
        <f>COUNTIFS(TablaMóviles[Región],"UTIM NQN",TablaMóviles[Año],2021,TablaMóviles[Cliente],"PECOM")</f>
        <v>0</v>
      </c>
      <c r="H13" s="269">
        <f>COUNTIFS(TablaMóviles[Región],"UTIM NQN",TablaMóviles[Año],2022,TablaMóviles[Cliente],"PECOM")</f>
        <v>0</v>
      </c>
      <c r="I13" s="269">
        <f>COUNTIFS(TablaMóviles[Región],"UTIM NQN",TablaMóviles[Año],2023,TablaMóviles[Cliente],"PECOM")</f>
        <v>0</v>
      </c>
      <c r="J13" s="269">
        <f>COUNTIFS(TablaMóviles[Región],"UTIM NQN",TablaMóviles[Año],2024,TablaMóviles[Cliente],"PECOM")</f>
        <v>0</v>
      </c>
      <c r="K13" s="269">
        <f>COUNTIFS(TablaMóviles[Región],"UTIM NQN",TablaMóviles[Año],2025,TablaMóviles[Cliente],"PECOM")</f>
        <v>0</v>
      </c>
      <c r="L13" s="277">
        <f t="shared" si="1"/>
        <v>1</v>
      </c>
    </row>
    <row r="14" spans="1:12" ht="15.75" customHeight="1" x14ac:dyDescent="0.35">
      <c r="A14" s="254"/>
      <c r="B14" s="253" t="s">
        <v>76</v>
      </c>
      <c r="C14" s="277">
        <f t="shared" ref="C14" si="2">SUM(D14:K14)</f>
        <v>9</v>
      </c>
      <c r="D14" s="272">
        <f>COUNTIFS(TablaMóviles[Región],"UTIM NQN",TablaMóviles[Año],2017,TablaMóviles[Cliente],"BACK UP")</f>
        <v>3</v>
      </c>
      <c r="E14" s="270">
        <f>COUNTIFS(TablaMóviles[Región],"UTIM NQN",TablaMóviles[Año],2018,TablaMóviles[Cliente],"BACK UP")</f>
        <v>2</v>
      </c>
      <c r="F14" s="270">
        <f>COUNTIFS(TablaMóviles[Región],"UTIM NQN",TablaMóviles[Año],2019,TablaMóviles[Cliente],"BACK UP")</f>
        <v>2</v>
      </c>
      <c r="G14" s="269">
        <f>COUNTIFS(TablaMóviles[Región],"UTIM NQN",TablaMóviles[Año],2021,TablaMóviles[Cliente],"BACK UP")</f>
        <v>0</v>
      </c>
      <c r="H14" s="269">
        <f>COUNTIFS(TablaMóviles[Región],"UTIM NQN",TablaMóviles[Año],2022,TablaMóviles[Cliente],"BACK UP")</f>
        <v>0</v>
      </c>
      <c r="I14" s="271">
        <f>COUNTIFS(TablaMóviles[Región],"UTIM NQN",TablaMóviles[Año],2023,TablaMóviles[Cliente],"BACK UP")</f>
        <v>2</v>
      </c>
      <c r="J14" s="269">
        <f>COUNTIFS(TablaMóviles[Región],"UTIM NQN",TablaMóviles[Año],2024,TablaMóviles[Cliente],"BACK UP")</f>
        <v>0</v>
      </c>
      <c r="K14" s="269">
        <f>COUNTIFS(TablaMóviles[Región],"UTIM NQN",TablaMóviles[Año],2025,TablaMóviles[Cliente],"BACK UP")</f>
        <v>0</v>
      </c>
      <c r="L14" s="277">
        <f t="shared" ref="L14" si="3">SUM(D14:K14)</f>
        <v>9</v>
      </c>
    </row>
    <row r="15" spans="1:12" ht="18" customHeight="1" x14ac:dyDescent="0.35">
      <c r="A15" s="357" t="s">
        <v>78</v>
      </c>
      <c r="B15" s="357"/>
      <c r="C15" s="251">
        <f t="shared" ref="C15:L15" si="4">SUM(C7:C14)</f>
        <v>45</v>
      </c>
      <c r="D15" s="251">
        <f t="shared" si="4"/>
        <v>6</v>
      </c>
      <c r="E15" s="251">
        <f t="shared" si="4"/>
        <v>2</v>
      </c>
      <c r="F15" s="251">
        <f t="shared" si="4"/>
        <v>18</v>
      </c>
      <c r="G15" s="251">
        <f t="shared" si="4"/>
        <v>0</v>
      </c>
      <c r="H15" s="251">
        <f t="shared" si="4"/>
        <v>0</v>
      </c>
      <c r="I15" s="251">
        <f t="shared" si="4"/>
        <v>13</v>
      </c>
      <c r="J15" s="251">
        <f t="shared" si="4"/>
        <v>6</v>
      </c>
      <c r="K15" s="251">
        <f t="shared" si="4"/>
        <v>0</v>
      </c>
      <c r="L15" s="251">
        <f t="shared" si="4"/>
        <v>45</v>
      </c>
    </row>
    <row r="16" spans="1:12" ht="15.75" customHeight="1" x14ac:dyDescent="0.35">
      <c r="A16" s="250" t="s">
        <v>79</v>
      </c>
      <c r="B16" s="249" t="s">
        <v>80</v>
      </c>
      <c r="C16" s="278">
        <f t="shared" ref="C16:C18" si="5">SUM(D16:K16)</f>
        <v>17</v>
      </c>
      <c r="D16" s="273">
        <f>COUNTIFS(TablaMóviles[Región],"UTIM SJ",TablaMóviles[Año],2017,TablaMóviles[Cliente],"Vicuña")</f>
        <v>0</v>
      </c>
      <c r="E16" s="273">
        <f>COUNTIFS(TablaMóviles[Región],"UTIM SJ",TablaMóviles[Año],2018,TablaMóviles[Cliente],"Vicuña")</f>
        <v>0</v>
      </c>
      <c r="F16" s="270">
        <f>COUNTIFS(TablaMóviles[Región],"UTIM SJ",TablaMóviles[Año],2019,TablaMóviles[Cliente],"Vicuña")</f>
        <v>1</v>
      </c>
      <c r="G16" s="273">
        <f>COUNTIFS(TablaMóviles[Región],"UTIM SJ",TablaMóviles[Año],2021,TablaMóviles[Cliente],"Vicuña")</f>
        <v>0</v>
      </c>
      <c r="H16" s="274">
        <f>COUNTIFS(TablaMóviles[Región],"UTIM SJ",TablaMóviles[Año],2022,TablaMóviles[Cliente],"Vicuña")</f>
        <v>3</v>
      </c>
      <c r="I16" s="271">
        <f>COUNTIFS(TablaMóviles[Región],"UTIM SJ",TablaMóviles[Año],2023,TablaMóviles[Cliente],"Vicuña")</f>
        <v>2</v>
      </c>
      <c r="J16" s="271">
        <f>COUNTIFS(TablaMóviles[Región],"UTIM SJ",TablaMóviles[Año],2024,TablaMóviles[Cliente],"Vicuña")</f>
        <v>6</v>
      </c>
      <c r="K16" s="275">
        <f>COUNTIFS(TablaMóviles[Región],"UTIM SJ",TablaMóviles[Año],2025,TablaMóviles[Cliente],"Vicuña")</f>
        <v>5</v>
      </c>
      <c r="L16" s="278">
        <f t="shared" ref="L16:L18" si="6">SUM(D16:K16)</f>
        <v>17</v>
      </c>
    </row>
    <row r="17" spans="1:12" ht="15.75" customHeight="1" x14ac:dyDescent="0.35">
      <c r="A17" s="247"/>
      <c r="B17" s="249" t="s">
        <v>76</v>
      </c>
      <c r="C17" s="278">
        <f t="shared" si="5"/>
        <v>4</v>
      </c>
      <c r="D17" s="272">
        <f>COUNTIFS(TablaMóviles[Región],"UTIM SJ",TablaMóviles[Año],2017,TablaMóviles[Cliente],"BACK UP")</f>
        <v>1</v>
      </c>
      <c r="E17" s="273">
        <f>COUNTIFS(TablaMóviles[Región],"UTIM SJ",TablaMóviles[Año],2018,TablaMóviles[Cliente],"BACK UP")</f>
        <v>0</v>
      </c>
      <c r="F17" s="273">
        <f>COUNTIFS(TablaMóviles[Región],"UTIM SJ",TablaMóviles[Año],2019,TablaMóviles[Cliente],"BACK UP")</f>
        <v>0</v>
      </c>
      <c r="G17" s="273">
        <f>COUNTIFS(TablaMóviles[Región],"UTIM SJ",TablaMóviles[Año],2021,TablaMóviles[Cliente],"BACK UP")</f>
        <v>0</v>
      </c>
      <c r="H17" s="274">
        <f>COUNTIFS(TablaMóviles[Región],"UTIM SJ",TablaMóviles[Año],2022,TablaMóviles[Cliente],"BACK UP")</f>
        <v>3</v>
      </c>
      <c r="I17" s="273">
        <f>COUNTIFS(TablaMóviles[Región],"UTIM SJ",TablaMóviles[Año],2023,TablaMóviles[Cliente],"BACK UP")</f>
        <v>0</v>
      </c>
      <c r="J17" s="273">
        <f>COUNTIFS(TablaMóviles[Región],"UTIM SJ",TablaMóviles[Año],2024,TablaMóviles[Cliente],"BACK UP")</f>
        <v>0</v>
      </c>
      <c r="K17" s="273">
        <f>COUNTIFS(TablaMóviles[Región],"UTIM SJ",TablaMóviles[Año],2025,TablaMóviles[Cliente],"BACK UP")</f>
        <v>0</v>
      </c>
      <c r="L17" s="278">
        <f t="shared" si="6"/>
        <v>4</v>
      </c>
    </row>
    <row r="18" spans="1:12" ht="15.75" customHeight="1" x14ac:dyDescent="0.35">
      <c r="A18" s="247"/>
      <c r="B18" s="249" t="s">
        <v>82</v>
      </c>
      <c r="C18" s="278">
        <f t="shared" si="5"/>
        <v>1</v>
      </c>
      <c r="D18" s="273">
        <f>COUNTIFS(TablaMóviles[Región],"UTIM SJ",TablaMóviles[Año],D$6,TablaMóviles[Estado],"En Reparación",TablaMóviles[Cliente],"&lt;&gt;BACK UP",TablaMóviles[Cliente],"&lt;&gt;Vicuña",TablaMóviles[Cliente],"&lt;&gt;NGEX")</f>
        <v>0</v>
      </c>
      <c r="E18" s="273">
        <f>COUNTIFS(TablaMóviles[Región],"UTIM SJ",TablaMóviles[Año],E$6,TablaMóviles[Estado],"En Reparación",TablaMóviles[Cliente],"&lt;&gt;BACK UP",TablaMóviles[Cliente],"&lt;&gt;Vicuña",TablaMóviles[Cliente],"&lt;&gt;NGEX")</f>
        <v>0</v>
      </c>
      <c r="F18" s="273">
        <f>COUNTIFS(TablaMóviles[Región],"UTIM SJ",TablaMóviles[Año],F$6,TablaMóviles[Estado],"En Reparación",TablaMóviles[Cliente],"&lt;&gt;BACK UP",TablaMóviles[Cliente],"&lt;&gt;Vicuña",TablaMóviles[Cliente],"&lt;&gt;NGEX")</f>
        <v>0</v>
      </c>
      <c r="G18" s="273">
        <f>COUNTIFS(TablaMóviles[Región],"UTIM SJ",TablaMóviles[Año],G$6,TablaMóviles[Estado],"En Reparación",TablaMóviles[Cliente],"&lt;&gt;BACK UP",TablaMóviles[Cliente],"&lt;&gt;Vicuña",TablaMóviles[Cliente],"&lt;&gt;NGEX")</f>
        <v>0</v>
      </c>
      <c r="H18" s="274">
        <f>COUNTIFS(TablaMóviles[Región],"UTIM SJ",TablaMóviles[Año],H$6,TablaMóviles[Estado],"En Reparación",TablaMóviles[Cliente],"&lt;&gt;BACK UP",TablaMóviles[Cliente],"&lt;&gt;Vicuña",TablaMóviles[Cliente],"&lt;&gt;NGEX")</f>
        <v>1</v>
      </c>
      <c r="I18" s="273">
        <f>COUNTIFS(TablaMóviles[Región],"UTIM SJ",TablaMóviles[Año],I$6,TablaMóviles[Estado],"En Reparación",TablaMóviles[Cliente],"&lt;&gt;BACK UP",TablaMóviles[Cliente],"&lt;&gt;Vicuña",TablaMóviles[Cliente],"&lt;&gt;NGEX")</f>
        <v>0</v>
      </c>
      <c r="J18" s="273">
        <f>COUNTIFS(TablaMóviles[Región],"UTIM SJ",TablaMóviles[Año],J$6,TablaMóviles[Estado],"En Reparación",TablaMóviles[Cliente],"&lt;&gt;BACK UP",TablaMóviles[Cliente],"&lt;&gt;Vicuña",TablaMóviles[Cliente],"&lt;&gt;NGEX")</f>
        <v>0</v>
      </c>
      <c r="K18" s="273">
        <f>COUNTIFS(TablaMóviles[Región],"UTIM SJ",TablaMóviles[Año],K$6,TablaMóviles[Estado],"En Reparación",TablaMóviles[Cliente],"&lt;&gt;BACK UP",TablaMóviles[Cliente],"&lt;&gt;Vicuña",TablaMóviles[Cliente],"&lt;&gt;NGEX")</f>
        <v>0</v>
      </c>
      <c r="L18" s="278">
        <f t="shared" si="6"/>
        <v>1</v>
      </c>
    </row>
    <row r="19" spans="1:12" ht="18" customHeight="1" x14ac:dyDescent="0.35">
      <c r="A19" s="358" t="s">
        <v>83</v>
      </c>
      <c r="B19" s="358"/>
      <c r="C19" s="243">
        <f t="shared" ref="C19:L19" si="7">SUM(C16:C18)</f>
        <v>22</v>
      </c>
      <c r="D19" s="243">
        <f t="shared" si="7"/>
        <v>1</v>
      </c>
      <c r="E19" s="243">
        <f t="shared" si="7"/>
        <v>0</v>
      </c>
      <c r="F19" s="243">
        <f t="shared" si="7"/>
        <v>1</v>
      </c>
      <c r="G19" s="243">
        <f t="shared" si="7"/>
        <v>0</v>
      </c>
      <c r="H19" s="243">
        <f t="shared" si="7"/>
        <v>7</v>
      </c>
      <c r="I19" s="243">
        <f t="shared" si="7"/>
        <v>2</v>
      </c>
      <c r="J19" s="243">
        <f t="shared" si="7"/>
        <v>6</v>
      </c>
      <c r="K19" s="243">
        <f t="shared" si="7"/>
        <v>5</v>
      </c>
      <c r="L19" s="243">
        <f t="shared" si="7"/>
        <v>22</v>
      </c>
    </row>
    <row r="20" spans="1:12" ht="15.75" customHeight="1" x14ac:dyDescent="0.35">
      <c r="A20" s="242" t="s">
        <v>84</v>
      </c>
      <c r="B20" s="241" t="s">
        <v>85</v>
      </c>
      <c r="C20" s="279">
        <f t="shared" ref="C20:C23" si="8">SUM(D20:K20)</f>
        <v>4</v>
      </c>
      <c r="D20" s="276">
        <f>COUNTIFS(TablaMóviles[Región],"UTIM SALTA",TablaMóviles[Año],2017,TablaMóviles[Cliente],"Ganfeng")</f>
        <v>0</v>
      </c>
      <c r="E20" s="276">
        <f>COUNTIFS(TablaMóviles[Región],"UTIM SALTA",TablaMóviles[Año],2018,TablaMóviles[Cliente],"Ganfeng")</f>
        <v>0</v>
      </c>
      <c r="F20" s="270">
        <f>COUNTIFS(TablaMóviles[Región],"UTIM SALTA",TablaMóviles[Año],2019,TablaMóviles[Cliente],"Ganfeng")</f>
        <v>1</v>
      </c>
      <c r="G20" s="276">
        <f>COUNTIFS(TablaMóviles[Región],"UTIM SALTA",TablaMóviles[Año],2021,TablaMóviles[Cliente],"Ganfeng")</f>
        <v>0</v>
      </c>
      <c r="H20" s="276">
        <f>COUNTIFS(TablaMóviles[Región],"UTIM SALTA",TablaMóviles[Año],2022,TablaMóviles[Cliente],"Ganfeng")</f>
        <v>0</v>
      </c>
      <c r="I20" s="271">
        <f>COUNTIFS(TablaMóviles[Región],"UTIM SALTA",TablaMóviles[Año],2023,TablaMóviles[Cliente],"Ganfeng")</f>
        <v>2</v>
      </c>
      <c r="J20" s="271">
        <f>COUNTIFS(TablaMóviles[Región],"UTIM SALTA",TablaMóviles[Año],2024,TablaMóviles[Cliente],"Ganfeng")</f>
        <v>1</v>
      </c>
      <c r="K20" s="276">
        <f>COUNTIFS(TablaMóviles[Región],"UTIM SALTA",TablaMóviles[Año],2025,TablaMóviles[Cliente],"Ganfeng")</f>
        <v>0</v>
      </c>
      <c r="L20" s="279">
        <f t="shared" ref="L20:L23" si="9">SUM(D20:K20)</f>
        <v>4</v>
      </c>
    </row>
    <row r="21" spans="1:12" ht="15.75" customHeight="1" x14ac:dyDescent="0.35">
      <c r="A21" s="266"/>
      <c r="B21" s="241" t="s">
        <v>86</v>
      </c>
      <c r="C21" s="279">
        <f t="shared" si="8"/>
        <v>1</v>
      </c>
      <c r="D21" s="276">
        <f>COUNTIFS(TablaMóviles[Región],"UTIM SALTA",TablaMóviles[Año],2017,TablaMóviles[Cliente],"INTEGRA")</f>
        <v>0</v>
      </c>
      <c r="E21" s="276">
        <f>COUNTIFS(TablaMóviles[Región],"UTIM SALTA",TablaMóviles[Año],2018,TablaMóviles[Cliente],"INTEGRA")</f>
        <v>0</v>
      </c>
      <c r="F21" s="270">
        <f>COUNTIFS(TablaMóviles[Región],"UTIM SALTA",TablaMóviles[Año],2019,TablaMóviles[Cliente],"INTEGRA")</f>
        <v>1</v>
      </c>
      <c r="G21" s="276">
        <f>COUNTIFS(TablaMóviles[Región],"UTIM SALTA",TablaMóviles[Año],2021,TablaMóviles[Cliente],"INTEGRA")</f>
        <v>0</v>
      </c>
      <c r="H21" s="276">
        <f>COUNTIFS(TablaMóviles[Región],"UTIM SALTA",TablaMóviles[Año],2022,TablaMóviles[Cliente],"INTEGRA")</f>
        <v>0</v>
      </c>
      <c r="I21" s="276">
        <f>COUNTIFS(TablaMóviles[Región],"UTIM SALTA",TablaMóviles[Año],2023,TablaMóviles[Cliente],"INTEGRA")</f>
        <v>0</v>
      </c>
      <c r="J21" s="276">
        <f>COUNTIFS(TablaMóviles[Región],"UTIM SALTA",TablaMóviles[Año],2024,TablaMóviles[Cliente],"INTEGRA")</f>
        <v>0</v>
      </c>
      <c r="K21" s="276">
        <f>COUNTIFS(TablaMóviles[Región],"UTIM SALTA",TablaMóviles[Año],2025,TablaMóviles[Cliente],"INTEGRA")</f>
        <v>0</v>
      </c>
      <c r="L21" s="279">
        <f t="shared" si="9"/>
        <v>1</v>
      </c>
    </row>
    <row r="22" spans="1:12" ht="15.75" customHeight="1" x14ac:dyDescent="0.35">
      <c r="A22" s="266"/>
      <c r="B22" s="241" t="s">
        <v>727</v>
      </c>
      <c r="C22" s="279">
        <f t="shared" si="8"/>
        <v>1</v>
      </c>
      <c r="D22" s="276">
        <f>COUNTIFS(TablaMóviles[Región],"UTIM SALTA",TablaMóviles[Año],D$6,TablaMóviles[Cliente],"HANNAQ")</f>
        <v>0</v>
      </c>
      <c r="E22" s="276">
        <f>COUNTIFS(TablaMóviles[Región],"UTIM SALTA",TablaMóviles[Año],E$6,TablaMóviles[Cliente],"HANNAQ")</f>
        <v>0</v>
      </c>
      <c r="F22" s="276">
        <f>COUNTIFS(TablaMóviles[Región],"UTIM SALTA",TablaMóviles[Año],F$6,TablaMóviles[Cliente],"HANNAQ")</f>
        <v>0</v>
      </c>
      <c r="G22" s="276">
        <f>COUNTIFS(TablaMóviles[Región],"UTIM SALTA",TablaMóviles[Año],G$6,TablaMóviles[Cliente],"HANNAQ")</f>
        <v>0</v>
      </c>
      <c r="H22" s="276">
        <f>COUNTIFS(TablaMóviles[Región],"UTIM SALTA",TablaMóviles[Año],H$6,TablaMóviles[Cliente],"HANNAQ")</f>
        <v>0</v>
      </c>
      <c r="I22" s="276">
        <f>COUNTIFS(TablaMóviles[Región],"UTIM SALTA",TablaMóviles[Año],I$6,TablaMóviles[Cliente],"HANNAQ")</f>
        <v>0</v>
      </c>
      <c r="J22" s="276">
        <f>COUNTIFS(TablaMóviles[Región],"UTIM SALTA",TablaMóviles[Año],J$6,TablaMóviles[Cliente],"HANNAQ")</f>
        <v>0</v>
      </c>
      <c r="K22" s="275">
        <f>COUNTIFS(TablaMóviles[Región],"UTIM SALTA",TablaMóviles[Año],K$6,TablaMóviles[Cliente],"HANNAQ")</f>
        <v>1</v>
      </c>
      <c r="L22" s="279">
        <f t="shared" si="9"/>
        <v>1</v>
      </c>
    </row>
    <row r="23" spans="1:12" ht="15.75" customHeight="1" x14ac:dyDescent="0.35">
      <c r="A23" s="242"/>
      <c r="B23" s="241" t="s">
        <v>76</v>
      </c>
      <c r="C23" s="279">
        <f t="shared" si="8"/>
        <v>4</v>
      </c>
      <c r="D23" s="272">
        <f>COUNTIFS(TablaMóviles[Región],"UTIM SALTA",TablaMóviles[Año],2017,TablaMóviles[Cliente],"BACK UP")</f>
        <v>2</v>
      </c>
      <c r="E23" s="276">
        <f>COUNTIFS(TablaMóviles[Región],"UTIM SALTA",TablaMóviles[Año],2018,TablaMóviles[Cliente],"BACK UP")</f>
        <v>0</v>
      </c>
      <c r="F23" s="270">
        <f>COUNTIFS(TablaMóviles[Región],"UTIM SALTA",TablaMóviles[Año],2019,TablaMóviles[Cliente],"BACK UP")</f>
        <v>1</v>
      </c>
      <c r="G23" s="276">
        <f>COUNTIFS(TablaMóviles[Región],"UTIM SALTA",TablaMóviles[Año],2021,TablaMóviles[Cliente],"BACK UP")</f>
        <v>0</v>
      </c>
      <c r="H23" s="276">
        <f>COUNTIFS(TablaMóviles[Región],"UTIM SALTA",TablaMóviles[Año],2022,TablaMóviles[Cliente],"BACK UP")</f>
        <v>0</v>
      </c>
      <c r="I23" s="276">
        <f>COUNTIFS(TablaMóviles[Región],"UTIM SALTA",TablaMóviles[Año],2023,TablaMóviles[Cliente],"BACK UP")</f>
        <v>0</v>
      </c>
      <c r="J23" s="271">
        <f>COUNTIFS(TablaMóviles[Región],"UTIM SALTA",TablaMóviles[Año],2024,TablaMóviles[Cliente],"BACK UP")</f>
        <v>1</v>
      </c>
      <c r="K23" s="276">
        <f>COUNTIFS(TablaMóviles[Región],"UTIM SALTA",TablaMóviles[Año],2025,TablaMóviles[Cliente],"BACK UP")</f>
        <v>0</v>
      </c>
      <c r="L23" s="279">
        <f t="shared" si="9"/>
        <v>4</v>
      </c>
    </row>
    <row r="24" spans="1:12" ht="18" customHeight="1" x14ac:dyDescent="0.35">
      <c r="A24" s="359" t="s">
        <v>87</v>
      </c>
      <c r="B24" s="359"/>
      <c r="C24" s="237">
        <f t="shared" ref="C24:L24" si="10">SUM(C20:C23)</f>
        <v>10</v>
      </c>
      <c r="D24" s="237">
        <f t="shared" si="10"/>
        <v>2</v>
      </c>
      <c r="E24" s="237">
        <f t="shared" si="10"/>
        <v>0</v>
      </c>
      <c r="F24" s="237">
        <f t="shared" si="10"/>
        <v>3</v>
      </c>
      <c r="G24" s="237">
        <f t="shared" si="10"/>
        <v>0</v>
      </c>
      <c r="H24" s="237">
        <f t="shared" si="10"/>
        <v>0</v>
      </c>
      <c r="I24" s="237">
        <f t="shared" si="10"/>
        <v>2</v>
      </c>
      <c r="J24" s="237">
        <f t="shared" si="10"/>
        <v>2</v>
      </c>
      <c r="K24" s="237">
        <f t="shared" si="10"/>
        <v>1</v>
      </c>
      <c r="L24" s="237">
        <f t="shared" si="10"/>
        <v>10</v>
      </c>
    </row>
    <row r="25" spans="1:12" ht="3.75" customHeight="1" x14ac:dyDescent="0.35"/>
    <row r="26" spans="1:12" ht="24" customHeight="1" thickBot="1" x14ac:dyDescent="0.4">
      <c r="A26" s="361" t="s">
        <v>88</v>
      </c>
      <c r="B26" s="361"/>
      <c r="C26" s="264">
        <f t="shared" ref="C26:L26" si="11">+C15+C19+C24</f>
        <v>77</v>
      </c>
      <c r="D26" s="265">
        <f t="shared" si="11"/>
        <v>9</v>
      </c>
      <c r="E26" s="265">
        <f t="shared" si="11"/>
        <v>2</v>
      </c>
      <c r="F26" s="265">
        <f t="shared" si="11"/>
        <v>22</v>
      </c>
      <c r="G26" s="265">
        <f t="shared" si="11"/>
        <v>0</v>
      </c>
      <c r="H26" s="265">
        <f t="shared" si="11"/>
        <v>7</v>
      </c>
      <c r="I26" s="265">
        <f t="shared" si="11"/>
        <v>17</v>
      </c>
      <c r="J26" s="265">
        <f t="shared" si="11"/>
        <v>14</v>
      </c>
      <c r="K26" s="265">
        <f t="shared" si="11"/>
        <v>6</v>
      </c>
      <c r="L26" s="264">
        <f t="shared" si="11"/>
        <v>77</v>
      </c>
    </row>
    <row r="27" spans="1:12" ht="12" customHeight="1" x14ac:dyDescent="0.35"/>
    <row r="28" spans="1:12" ht="21.75" customHeight="1" x14ac:dyDescent="0.35">
      <c r="A28" s="362" t="s">
        <v>89</v>
      </c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</row>
    <row r="29" spans="1:12" ht="25.5" customHeight="1" thickBot="1" x14ac:dyDescent="0.4">
      <c r="A29" s="263" t="s">
        <v>64</v>
      </c>
      <c r="B29" s="263" t="s">
        <v>65</v>
      </c>
      <c r="C29" s="257" t="s">
        <v>66</v>
      </c>
      <c r="D29" s="262">
        <v>2017</v>
      </c>
      <c r="E29" s="261">
        <v>2018</v>
      </c>
      <c r="F29" s="261">
        <v>2019</v>
      </c>
      <c r="G29" s="260">
        <v>2021</v>
      </c>
      <c r="H29" s="260">
        <v>2022</v>
      </c>
      <c r="I29" s="259">
        <v>2023</v>
      </c>
      <c r="J29" s="259">
        <v>2024</v>
      </c>
      <c r="K29" s="258">
        <v>2025</v>
      </c>
      <c r="L29" s="257" t="s">
        <v>66</v>
      </c>
    </row>
    <row r="30" spans="1:12" ht="15.75" hidden="1" customHeight="1" x14ac:dyDescent="0.35">
      <c r="A30" s="256" t="s">
        <v>67</v>
      </c>
      <c r="B30" s="253" t="s">
        <v>90</v>
      </c>
      <c r="C30" s="89" t="s">
        <v>69</v>
      </c>
      <c r="D30" s="252" t="s">
        <v>69</v>
      </c>
      <c r="E30" s="252" t="s">
        <v>69</v>
      </c>
      <c r="F30" s="252" t="s">
        <v>69</v>
      </c>
      <c r="G30" s="252" t="s">
        <v>69</v>
      </c>
      <c r="H30" s="248" t="s">
        <v>69</v>
      </c>
      <c r="I30" s="252" t="s">
        <v>69</v>
      </c>
      <c r="J30" s="239" t="s">
        <v>69</v>
      </c>
      <c r="K30" s="252" t="s">
        <v>69</v>
      </c>
      <c r="L30" s="89" t="s">
        <v>69</v>
      </c>
    </row>
    <row r="31" spans="1:12" ht="15.75" hidden="1" customHeight="1" x14ac:dyDescent="0.35">
      <c r="A31" s="254"/>
      <c r="B31" s="253" t="s">
        <v>91</v>
      </c>
      <c r="C31" s="89" t="s">
        <v>69</v>
      </c>
      <c r="D31" s="255" t="s">
        <v>69</v>
      </c>
      <c r="E31" s="252" t="s">
        <v>69</v>
      </c>
      <c r="F31" s="252" t="s">
        <v>69</v>
      </c>
      <c r="G31" s="252" t="s">
        <v>69</v>
      </c>
      <c r="H31" s="252" t="s">
        <v>69</v>
      </c>
      <c r="I31" s="252" t="s">
        <v>69</v>
      </c>
      <c r="J31" s="252" t="s">
        <v>69</v>
      </c>
      <c r="K31" s="252" t="s">
        <v>69</v>
      </c>
      <c r="L31" s="89" t="s">
        <v>69</v>
      </c>
    </row>
    <row r="32" spans="1:12" ht="15.75" hidden="1" customHeight="1" x14ac:dyDescent="0.35">
      <c r="A32" s="254"/>
      <c r="B32" s="253" t="s">
        <v>92</v>
      </c>
      <c r="C32" s="89" t="s">
        <v>69</v>
      </c>
      <c r="D32" s="252" t="s">
        <v>69</v>
      </c>
      <c r="E32" s="252" t="s">
        <v>69</v>
      </c>
      <c r="F32" s="246" t="s">
        <v>69</v>
      </c>
      <c r="G32" s="252" t="s">
        <v>69</v>
      </c>
      <c r="H32" s="252" t="s">
        <v>69</v>
      </c>
      <c r="I32" s="252" t="s">
        <v>69</v>
      </c>
      <c r="J32" s="252" t="s">
        <v>69</v>
      </c>
      <c r="K32" s="252" t="s">
        <v>69</v>
      </c>
      <c r="L32" s="89" t="s">
        <v>69</v>
      </c>
    </row>
    <row r="33" spans="1:12" ht="15.75" hidden="1" customHeight="1" x14ac:dyDescent="0.35">
      <c r="A33" s="254"/>
      <c r="B33" s="253" t="s">
        <v>93</v>
      </c>
      <c r="C33" s="89" t="s">
        <v>69</v>
      </c>
      <c r="D33" s="255" t="s">
        <v>69</v>
      </c>
      <c r="E33" s="252" t="s">
        <v>69</v>
      </c>
      <c r="F33" s="252" t="s">
        <v>69</v>
      </c>
      <c r="G33" s="252" t="s">
        <v>69</v>
      </c>
      <c r="H33" s="252" t="s">
        <v>69</v>
      </c>
      <c r="I33" s="252" t="s">
        <v>69</v>
      </c>
      <c r="J33" s="252" t="s">
        <v>69</v>
      </c>
      <c r="K33" s="252" t="s">
        <v>69</v>
      </c>
      <c r="L33" s="89" t="s">
        <v>69</v>
      </c>
    </row>
    <row r="34" spans="1:12" ht="15.75" hidden="1" customHeight="1" x14ac:dyDescent="0.35">
      <c r="A34" s="254"/>
      <c r="B34" s="253" t="s">
        <v>94</v>
      </c>
      <c r="C34" s="89" t="s">
        <v>69</v>
      </c>
      <c r="D34" s="252" t="s">
        <v>69</v>
      </c>
      <c r="E34" s="252" t="s">
        <v>69</v>
      </c>
      <c r="F34" s="252" t="s">
        <v>69</v>
      </c>
      <c r="G34" s="252" t="s">
        <v>69</v>
      </c>
      <c r="H34" s="248" t="s">
        <v>69</v>
      </c>
      <c r="I34" s="252" t="s">
        <v>69</v>
      </c>
      <c r="J34" s="252" t="s">
        <v>69</v>
      </c>
      <c r="K34" s="252" t="s">
        <v>69</v>
      </c>
      <c r="L34" s="89" t="s">
        <v>69</v>
      </c>
    </row>
    <row r="35" spans="1:12" ht="15.75" hidden="1" customHeight="1" x14ac:dyDescent="0.35">
      <c r="A35" s="254"/>
      <c r="B35" s="253" t="s">
        <v>95</v>
      </c>
      <c r="C35" s="89" t="s">
        <v>69</v>
      </c>
      <c r="D35" s="252" t="s">
        <v>69</v>
      </c>
      <c r="E35" s="252" t="s">
        <v>69</v>
      </c>
      <c r="F35" s="252" t="s">
        <v>69</v>
      </c>
      <c r="G35" s="252" t="s">
        <v>69</v>
      </c>
      <c r="H35" s="252" t="s">
        <v>69</v>
      </c>
      <c r="I35" s="239" t="s">
        <v>69</v>
      </c>
      <c r="J35" s="252" t="s">
        <v>69</v>
      </c>
      <c r="K35" s="252" t="s">
        <v>69</v>
      </c>
      <c r="L35" s="89" t="s">
        <v>69</v>
      </c>
    </row>
    <row r="36" spans="1:12" ht="15.75" hidden="1" customHeight="1" x14ac:dyDescent="0.35">
      <c r="A36" s="254"/>
      <c r="B36" s="253" t="s">
        <v>96</v>
      </c>
      <c r="C36" s="89" t="s">
        <v>69</v>
      </c>
      <c r="D36" s="252" t="s">
        <v>69</v>
      </c>
      <c r="E36" s="246" t="s">
        <v>69</v>
      </c>
      <c r="F36" s="246" t="s">
        <v>69</v>
      </c>
      <c r="G36" s="252" t="s">
        <v>69</v>
      </c>
      <c r="H36" s="248" t="s">
        <v>69</v>
      </c>
      <c r="I36" s="252" t="s">
        <v>69</v>
      </c>
      <c r="J36" s="252" t="s">
        <v>69</v>
      </c>
      <c r="K36" s="252" t="s">
        <v>69</v>
      </c>
      <c r="L36" s="89" t="s">
        <v>69</v>
      </c>
    </row>
    <row r="37" spans="1:12" ht="15.75" hidden="1" customHeight="1" x14ac:dyDescent="0.35">
      <c r="A37" s="254"/>
      <c r="B37" s="253" t="s">
        <v>97</v>
      </c>
      <c r="C37" s="89" t="s">
        <v>69</v>
      </c>
      <c r="D37" s="252" t="s">
        <v>69</v>
      </c>
      <c r="E37" s="252" t="s">
        <v>69</v>
      </c>
      <c r="F37" s="252" t="s">
        <v>69</v>
      </c>
      <c r="G37" s="248" t="s">
        <v>69</v>
      </c>
      <c r="H37" s="248" t="s">
        <v>69</v>
      </c>
      <c r="I37" s="252" t="s">
        <v>69</v>
      </c>
      <c r="J37" s="252" t="s">
        <v>69</v>
      </c>
      <c r="K37" s="238" t="s">
        <v>69</v>
      </c>
      <c r="L37" s="89" t="s">
        <v>69</v>
      </c>
    </row>
    <row r="38" spans="1:12" ht="15.75" hidden="1" customHeight="1" x14ac:dyDescent="0.35">
      <c r="A38" s="254"/>
      <c r="B38" s="253" t="s">
        <v>98</v>
      </c>
      <c r="C38" s="89" t="s">
        <v>69</v>
      </c>
      <c r="D38" s="252" t="s">
        <v>69</v>
      </c>
      <c r="E38" s="252" t="s">
        <v>69</v>
      </c>
      <c r="F38" s="252" t="s">
        <v>69</v>
      </c>
      <c r="G38" s="252" t="s">
        <v>69</v>
      </c>
      <c r="H38" s="252" t="s">
        <v>69</v>
      </c>
      <c r="I38" s="252" t="s">
        <v>69</v>
      </c>
      <c r="J38" s="252" t="s">
        <v>69</v>
      </c>
      <c r="K38" s="238" t="s">
        <v>69</v>
      </c>
      <c r="L38" s="89" t="s">
        <v>69</v>
      </c>
    </row>
    <row r="39" spans="1:12" ht="18" customHeight="1" x14ac:dyDescent="0.35">
      <c r="A39" s="357" t="s">
        <v>728</v>
      </c>
      <c r="B39" s="363"/>
      <c r="C39" s="251">
        <f>SUM(D39:K39)</f>
        <v>20</v>
      </c>
      <c r="D39" s="251">
        <f>COUNTIFS(TablaMóviles[Región],"LOGISTICA NQN",TablaMóviles[Año],D$6)</f>
        <v>2</v>
      </c>
      <c r="E39" s="251">
        <f>COUNTIFS(TablaMóviles[Región],"LOGISTICA NQN",TablaMóviles[Año],E$6)</f>
        <v>1</v>
      </c>
      <c r="F39" s="251">
        <f>COUNTIFS(TablaMóviles[Región],"LOGISTICA NQN",TablaMóviles[Año],F$6)</f>
        <v>2</v>
      </c>
      <c r="G39" s="251">
        <f>COUNTIFS(TablaMóviles[Región],"LOGISTICA NQN",TablaMóviles[Año],G$6)</f>
        <v>1</v>
      </c>
      <c r="H39" s="251">
        <f>COUNTIFS(TablaMóviles[Región],"LOGISTICA NQN",TablaMóviles[Año],H$6)</f>
        <v>5</v>
      </c>
      <c r="I39" s="251">
        <f>COUNTIFS(TablaMóviles[Región],"LOGISTICA NQN",TablaMóviles[Año],I$6)</f>
        <v>1</v>
      </c>
      <c r="J39" s="251">
        <f>COUNTIFS(TablaMóviles[Región],"LOGISTICA NQN",TablaMóviles[Año],J$6)</f>
        <v>6</v>
      </c>
      <c r="K39" s="251">
        <f>COUNTIFS(TablaMóviles[Región],"LOGISTICA NQN",TablaMóviles[Año],K$6)</f>
        <v>2</v>
      </c>
      <c r="L39" s="251">
        <f>SUM(D39:K39)</f>
        <v>20</v>
      </c>
    </row>
    <row r="40" spans="1:12" ht="15.75" hidden="1" customHeight="1" x14ac:dyDescent="0.35">
      <c r="A40" s="250" t="s">
        <v>79</v>
      </c>
      <c r="B40" s="249" t="s">
        <v>80</v>
      </c>
      <c r="C40" s="244" t="s">
        <v>69</v>
      </c>
      <c r="D40" s="245" t="s">
        <v>69</v>
      </c>
      <c r="E40" s="245" t="s">
        <v>69</v>
      </c>
      <c r="F40" s="245" t="s">
        <v>69</v>
      </c>
      <c r="G40" s="245" t="s">
        <v>69</v>
      </c>
      <c r="H40" s="248" t="s">
        <v>69</v>
      </c>
      <c r="I40" s="245" t="s">
        <v>69</v>
      </c>
      <c r="J40" s="245" t="s">
        <v>69</v>
      </c>
      <c r="K40" s="245" t="s">
        <v>69</v>
      </c>
      <c r="L40" s="244" t="s">
        <v>69</v>
      </c>
    </row>
    <row r="41" spans="1:12" ht="15.75" hidden="1" customHeight="1" x14ac:dyDescent="0.35">
      <c r="A41" s="247"/>
      <c r="B41" s="249" t="s">
        <v>81</v>
      </c>
      <c r="C41" s="244" t="s">
        <v>69</v>
      </c>
      <c r="D41" s="245" t="s">
        <v>69</v>
      </c>
      <c r="E41" s="245" t="s">
        <v>69</v>
      </c>
      <c r="F41" s="245" t="s">
        <v>69</v>
      </c>
      <c r="G41" s="245" t="s">
        <v>69</v>
      </c>
      <c r="H41" s="245" t="s">
        <v>69</v>
      </c>
      <c r="I41" s="239" t="s">
        <v>69</v>
      </c>
      <c r="J41" s="245" t="s">
        <v>69</v>
      </c>
      <c r="K41" s="245" t="s">
        <v>69</v>
      </c>
      <c r="L41" s="244" t="s">
        <v>69</v>
      </c>
    </row>
    <row r="42" spans="1:12" ht="15.75" hidden="1" customHeight="1" x14ac:dyDescent="0.35">
      <c r="A42" s="247"/>
      <c r="B42" s="249" t="s">
        <v>99</v>
      </c>
      <c r="C42" s="244" t="s">
        <v>69</v>
      </c>
      <c r="D42" s="245" t="s">
        <v>69</v>
      </c>
      <c r="E42" s="245" t="s">
        <v>69</v>
      </c>
      <c r="F42" s="245" t="s">
        <v>69</v>
      </c>
      <c r="G42" s="245" t="s">
        <v>69</v>
      </c>
      <c r="H42" s="245" t="s">
        <v>69</v>
      </c>
      <c r="I42" s="245" t="s">
        <v>69</v>
      </c>
      <c r="J42" s="245" t="s">
        <v>69</v>
      </c>
      <c r="K42" s="238" t="s">
        <v>69</v>
      </c>
      <c r="L42" s="244" t="s">
        <v>69</v>
      </c>
    </row>
    <row r="43" spans="1:12" ht="15.75" hidden="1" customHeight="1" x14ac:dyDescent="0.35">
      <c r="A43" s="247"/>
      <c r="B43" s="249" t="s">
        <v>76</v>
      </c>
      <c r="C43" s="244" t="s">
        <v>69</v>
      </c>
      <c r="D43" s="245" t="s">
        <v>69</v>
      </c>
      <c r="E43" s="245" t="s">
        <v>69</v>
      </c>
      <c r="F43" s="245" t="s">
        <v>69</v>
      </c>
      <c r="G43" s="245" t="s">
        <v>69</v>
      </c>
      <c r="H43" s="248" t="s">
        <v>69</v>
      </c>
      <c r="I43" s="245" t="s">
        <v>69</v>
      </c>
      <c r="J43" s="245" t="s">
        <v>69</v>
      </c>
      <c r="K43" s="245" t="s">
        <v>69</v>
      </c>
      <c r="L43" s="244" t="s">
        <v>69</v>
      </c>
    </row>
    <row r="44" spans="1:12" ht="15.75" hidden="1" customHeight="1" x14ac:dyDescent="0.35">
      <c r="A44" s="247"/>
      <c r="B44" s="249" t="s">
        <v>100</v>
      </c>
      <c r="C44" s="244" t="s">
        <v>69</v>
      </c>
      <c r="D44" s="245" t="s">
        <v>69</v>
      </c>
      <c r="E44" s="245" t="s">
        <v>69</v>
      </c>
      <c r="F44" s="246" t="s">
        <v>69</v>
      </c>
      <c r="G44" s="245" t="s">
        <v>69</v>
      </c>
      <c r="H44" s="245" t="s">
        <v>69</v>
      </c>
      <c r="I44" s="245" t="s">
        <v>69</v>
      </c>
      <c r="J44" s="245" t="s">
        <v>69</v>
      </c>
      <c r="K44" s="245" t="s">
        <v>69</v>
      </c>
      <c r="L44" s="244" t="s">
        <v>69</v>
      </c>
    </row>
    <row r="45" spans="1:12" ht="18" customHeight="1" x14ac:dyDescent="0.35">
      <c r="A45" s="358" t="s">
        <v>729</v>
      </c>
      <c r="B45" s="364"/>
      <c r="C45" s="243">
        <f>SUM(D45:K45)</f>
        <v>6</v>
      </c>
      <c r="D45" s="243">
        <f>COUNTIFS(TablaMóviles[Región],"LOGISTICA SJ",TablaMóviles[Año],D$6)</f>
        <v>0</v>
      </c>
      <c r="E45" s="243">
        <f>COUNTIFS(TablaMóviles[Región],"LOGISTICA SJ",TablaMóviles[Año],E$6)</f>
        <v>0</v>
      </c>
      <c r="F45" s="243">
        <f>COUNTIFS(TablaMóviles[Región],"LOGISTICA SJ",TablaMóviles[Año],F$6)</f>
        <v>1</v>
      </c>
      <c r="G45" s="243">
        <f>COUNTIFS(TablaMóviles[Región],"LOGISTICA SJ",TablaMóviles[Año],G$6)</f>
        <v>0</v>
      </c>
      <c r="H45" s="243">
        <f>COUNTIFS(TablaMóviles[Región],"LOGISTICA SJ",TablaMóviles[Año],H$6)</f>
        <v>3</v>
      </c>
      <c r="I45" s="243">
        <f>COUNTIFS(TablaMóviles[Región],"LOGISTICA SJ",TablaMóviles[Año],I$6)</f>
        <v>1</v>
      </c>
      <c r="J45" s="243">
        <f>COUNTIFS(TablaMóviles[Región],"LOGISTICA SJ",TablaMóviles[Año],J$6)</f>
        <v>0</v>
      </c>
      <c r="K45" s="243">
        <f>COUNTIFS(TablaMóviles[Región],"LOGISTICA SJ",TablaMóviles[Año],K$6)</f>
        <v>1</v>
      </c>
      <c r="L45" s="243">
        <f>SUM(D45:K45)</f>
        <v>6</v>
      </c>
    </row>
    <row r="46" spans="1:12" ht="15.75" hidden="1" customHeight="1" x14ac:dyDescent="0.35">
      <c r="A46" s="242" t="s">
        <v>84</v>
      </c>
      <c r="B46" s="241" t="s">
        <v>101</v>
      </c>
      <c r="C46" s="84" t="s">
        <v>69</v>
      </c>
      <c r="D46" s="240" t="s">
        <v>69</v>
      </c>
      <c r="E46" s="240" t="s">
        <v>69</v>
      </c>
      <c r="F46" s="240" t="s">
        <v>69</v>
      </c>
      <c r="G46" s="240" t="s">
        <v>69</v>
      </c>
      <c r="H46" s="240" t="s">
        <v>69</v>
      </c>
      <c r="I46" s="240" t="s">
        <v>69</v>
      </c>
      <c r="J46" s="239" t="s">
        <v>69</v>
      </c>
      <c r="K46" s="238" t="s">
        <v>69</v>
      </c>
      <c r="L46" s="84" t="s">
        <v>69</v>
      </c>
    </row>
    <row r="47" spans="1:12" ht="18" customHeight="1" x14ac:dyDescent="0.35">
      <c r="A47" s="359" t="s">
        <v>730</v>
      </c>
      <c r="B47" s="359"/>
      <c r="C47" s="237">
        <f>SUM(D47:K47)</f>
        <v>2</v>
      </c>
      <c r="D47" s="237">
        <f>COUNTIFS(TablaMóviles[Región],"LOGISTICA SALTA",TablaMóviles[Año],D$6)</f>
        <v>0</v>
      </c>
      <c r="E47" s="237">
        <f>COUNTIFS(TablaMóviles[Región],"LOGISTICA SALTA",TablaMóviles[Año],E$6)</f>
        <v>0</v>
      </c>
      <c r="F47" s="237">
        <f>COUNTIFS(TablaMóviles[Región],"LOGISTICA SALTA",TablaMóviles[Año],F$6)</f>
        <v>0</v>
      </c>
      <c r="G47" s="237">
        <f>COUNTIFS(TablaMóviles[Región],"LOGISTICA SALTA",TablaMóviles[Año],G$6)</f>
        <v>0</v>
      </c>
      <c r="H47" s="237">
        <f>COUNTIFS(TablaMóviles[Región],"LOGISTICA SALTA",TablaMóviles[Año],H$6)</f>
        <v>0</v>
      </c>
      <c r="I47" s="237">
        <f>COUNTIFS(TablaMóviles[Región],"LOGISTICA SALTA",TablaMóviles[Año],I$6)</f>
        <v>0</v>
      </c>
      <c r="J47" s="237">
        <f>COUNTIFS(TablaMóviles[Región],"LOGISTICA SALTA",TablaMóviles[Año],J$6)</f>
        <v>1</v>
      </c>
      <c r="K47" s="237">
        <f>COUNTIFS(TablaMóviles[Región],"LOGISTICA SALTA",TablaMóviles[Año],K$6)</f>
        <v>1</v>
      </c>
      <c r="L47" s="237">
        <f>SUM(D47:K47)</f>
        <v>2</v>
      </c>
    </row>
    <row r="48" spans="1:12" ht="18" hidden="1" customHeight="1" x14ac:dyDescent="0.35">
      <c r="A48" s="286" t="s">
        <v>731</v>
      </c>
      <c r="B48" s="287" t="s">
        <v>120</v>
      </c>
      <c r="C48" s="288">
        <f>SUM(D48:K48)</f>
        <v>3</v>
      </c>
      <c r="D48" s="285">
        <f>COUNTIFS(TablaMóviles[Región],"PAMI",TablaMóviles[Año],D$6)</f>
        <v>2</v>
      </c>
      <c r="E48" s="285">
        <f>COUNTIFS(TablaMóviles[Región],"PAMI",TablaMóviles[Año],E$6)</f>
        <v>0</v>
      </c>
      <c r="F48" s="285">
        <f>COUNTIFS(TablaMóviles[Región],"PAMI",TablaMóviles[Año],F$6)</f>
        <v>1</v>
      </c>
      <c r="G48" s="285">
        <f>COUNTIFS(TablaMóviles[Región],"PAMI",TablaMóviles[Año],G$6)</f>
        <v>0</v>
      </c>
      <c r="H48" s="285">
        <f>COUNTIFS(TablaMóviles[Región],"PAMI",TablaMóviles[Año],H$6)</f>
        <v>0</v>
      </c>
      <c r="I48" s="285">
        <f>COUNTIFS(TablaMóviles[Región],"PAMI",TablaMóviles[Año],I$6)</f>
        <v>0</v>
      </c>
      <c r="J48" s="285">
        <f>COUNTIFS(TablaMóviles[Región],"PAMI",TablaMóviles[Año],J$6)</f>
        <v>0</v>
      </c>
      <c r="K48" s="285">
        <f>COUNTIFS(TablaMóviles[Región],"PAMI",TablaMóviles[Año],K$6)</f>
        <v>0</v>
      </c>
      <c r="L48" s="288">
        <f>SUM(D48:K48)</f>
        <v>3</v>
      </c>
    </row>
    <row r="49" spans="1:12" ht="18" hidden="1" customHeight="1" x14ac:dyDescent="0.35">
      <c r="A49" s="284"/>
      <c r="B49" s="287" t="s">
        <v>121</v>
      </c>
      <c r="C49" s="288">
        <f>SUM(D49:K49)</f>
        <v>1</v>
      </c>
      <c r="D49" s="285">
        <f>COUNTIFS(TablaMóviles[Región],"Alquilados",TablaMóviles[Año],D$6)</f>
        <v>0</v>
      </c>
      <c r="E49" s="285">
        <f>COUNTIFS(TablaMóviles[Región],"Alquilados",TablaMóviles[Año],E$6)</f>
        <v>0</v>
      </c>
      <c r="F49" s="285">
        <f>COUNTIFS(TablaMóviles[Región],"Alquilados",TablaMóviles[Año],F$6)</f>
        <v>0</v>
      </c>
      <c r="G49" s="285">
        <f>COUNTIFS(TablaMóviles[Región],"Alquilados",TablaMóviles[Año],G$6)</f>
        <v>0</v>
      </c>
      <c r="H49" s="285">
        <f>COUNTIFS(TablaMóviles[Región],"Alquilados",TablaMóviles[Año],H$6)</f>
        <v>0</v>
      </c>
      <c r="I49" s="285">
        <f>COUNTIFS(TablaMóviles[Región],"Alquilados",TablaMóviles[Año],I$6)</f>
        <v>0</v>
      </c>
      <c r="J49" s="285">
        <f>COUNTIFS(TablaMóviles[Región],"Alquilados",TablaMóviles[Año],J$6)</f>
        <v>0</v>
      </c>
      <c r="K49" s="285">
        <f>COUNTIFS(TablaMóviles[Región],"Alquilados",TablaMóviles[Año],K$6)</f>
        <v>1</v>
      </c>
      <c r="L49" s="288">
        <f>SUM(D49:K49)</f>
        <v>1</v>
      </c>
    </row>
    <row r="50" spans="1:12" ht="18" customHeight="1" x14ac:dyDescent="0.35">
      <c r="A50" s="289" t="s">
        <v>732</v>
      </c>
      <c r="B50" s="290"/>
      <c r="C50" s="291">
        <f t="shared" ref="C50:L50" si="12">C48+C49</f>
        <v>4</v>
      </c>
      <c r="D50" s="291">
        <f t="shared" si="12"/>
        <v>2</v>
      </c>
      <c r="E50" s="291">
        <f t="shared" si="12"/>
        <v>0</v>
      </c>
      <c r="F50" s="291">
        <f t="shared" si="12"/>
        <v>1</v>
      </c>
      <c r="G50" s="291">
        <f t="shared" si="12"/>
        <v>0</v>
      </c>
      <c r="H50" s="291">
        <f t="shared" si="12"/>
        <v>0</v>
      </c>
      <c r="I50" s="291">
        <f t="shared" si="12"/>
        <v>0</v>
      </c>
      <c r="J50" s="291">
        <f t="shared" si="12"/>
        <v>0</v>
      </c>
      <c r="K50" s="291">
        <f t="shared" si="12"/>
        <v>1</v>
      </c>
      <c r="L50" s="291">
        <f t="shared" si="12"/>
        <v>4</v>
      </c>
    </row>
    <row r="51" spans="1:12" ht="18" hidden="1" customHeight="1" x14ac:dyDescent="0.35">
      <c r="A51" s="284"/>
      <c r="B51" s="284"/>
      <c r="C51" s="285"/>
      <c r="D51" s="285"/>
      <c r="E51" s="285"/>
      <c r="F51" s="285"/>
      <c r="G51" s="285"/>
      <c r="H51" s="285"/>
      <c r="I51" s="285"/>
      <c r="J51" s="285"/>
      <c r="K51" s="285"/>
      <c r="L51" s="285"/>
    </row>
    <row r="52" spans="1:12" ht="3.75" customHeight="1" x14ac:dyDescent="0.35"/>
    <row r="53" spans="1:12" ht="24" customHeight="1" thickBot="1" x14ac:dyDescent="0.4">
      <c r="A53" s="365" t="s">
        <v>102</v>
      </c>
      <c r="B53" s="365"/>
      <c r="C53" s="235">
        <f t="shared" ref="C53:L53" si="13">+C39+C45+C47+C50</f>
        <v>32</v>
      </c>
      <c r="D53" s="236">
        <f t="shared" si="13"/>
        <v>4</v>
      </c>
      <c r="E53" s="236">
        <f t="shared" si="13"/>
        <v>1</v>
      </c>
      <c r="F53" s="236">
        <f t="shared" si="13"/>
        <v>4</v>
      </c>
      <c r="G53" s="236">
        <f t="shared" si="13"/>
        <v>1</v>
      </c>
      <c r="H53" s="236">
        <f t="shared" si="13"/>
        <v>8</v>
      </c>
      <c r="I53" s="236">
        <f t="shared" si="13"/>
        <v>2</v>
      </c>
      <c r="J53" s="236">
        <f t="shared" si="13"/>
        <v>7</v>
      </c>
      <c r="K53" s="236">
        <f t="shared" si="13"/>
        <v>5</v>
      </c>
      <c r="L53" s="235">
        <f t="shared" si="13"/>
        <v>32</v>
      </c>
    </row>
    <row r="55" spans="1:12" ht="27.75" customHeight="1" x14ac:dyDescent="0.35">
      <c r="A55" s="360" t="s">
        <v>56</v>
      </c>
      <c r="B55" s="360"/>
      <c r="C55" s="233">
        <f t="shared" ref="C55:L55" si="14">+C53+C26</f>
        <v>109</v>
      </c>
      <c r="D55" s="234">
        <f t="shared" si="14"/>
        <v>13</v>
      </c>
      <c r="E55" s="234">
        <f t="shared" si="14"/>
        <v>3</v>
      </c>
      <c r="F55" s="234">
        <f t="shared" si="14"/>
        <v>26</v>
      </c>
      <c r="G55" s="234">
        <f t="shared" si="14"/>
        <v>1</v>
      </c>
      <c r="H55" s="234">
        <f t="shared" si="14"/>
        <v>15</v>
      </c>
      <c r="I55" s="234">
        <f t="shared" si="14"/>
        <v>19</v>
      </c>
      <c r="J55" s="234">
        <f t="shared" si="14"/>
        <v>21</v>
      </c>
      <c r="K55" s="234">
        <f t="shared" si="14"/>
        <v>11</v>
      </c>
      <c r="L55" s="233">
        <f t="shared" si="14"/>
        <v>109</v>
      </c>
    </row>
  </sheetData>
  <sortState xmlns:xlrd2="http://schemas.microsoft.com/office/spreadsheetml/2017/richdata2" ref="B7:L13">
    <sortCondition descending="1" ref="C7:C13"/>
    <sortCondition ref="B7:B13"/>
  </sortState>
  <mergeCells count="13">
    <mergeCell ref="A24:B24"/>
    <mergeCell ref="A55:B55"/>
    <mergeCell ref="A26:B26"/>
    <mergeCell ref="A28:L28"/>
    <mergeCell ref="A39:B39"/>
    <mergeCell ref="A45:B45"/>
    <mergeCell ref="A47:B47"/>
    <mergeCell ref="A53:B53"/>
    <mergeCell ref="A1:L1"/>
    <mergeCell ref="A2:L2"/>
    <mergeCell ref="A5:L5"/>
    <mergeCell ref="A15:B15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20"/>
  <sheetViews>
    <sheetView showGridLines="0" topLeftCell="A2" workbookViewId="0">
      <selection activeCell="E23" sqref="E23"/>
    </sheetView>
  </sheetViews>
  <sheetFormatPr baseColWidth="10" defaultColWidth="8.81640625" defaultRowHeight="14.5" x14ac:dyDescent="0.35"/>
  <cols>
    <col min="1" max="1" width="22" customWidth="1"/>
    <col min="2" max="2" width="10" customWidth="1"/>
    <col min="3" max="3" width="12" customWidth="1"/>
    <col min="4" max="4" width="13" customWidth="1"/>
    <col min="5" max="5" width="10" customWidth="1"/>
    <col min="6" max="6" width="14" customWidth="1"/>
    <col min="7" max="8" width="13" customWidth="1"/>
  </cols>
  <sheetData>
    <row r="1" spans="1:8" ht="36" customHeight="1" x14ac:dyDescent="0.35">
      <c r="A1" s="375" t="s">
        <v>721</v>
      </c>
      <c r="B1" s="339"/>
      <c r="C1" s="339"/>
      <c r="D1" s="339"/>
      <c r="E1" s="339"/>
      <c r="F1" s="339"/>
      <c r="G1" s="339"/>
      <c r="H1" s="339"/>
    </row>
    <row r="2" spans="1:8" ht="16" customHeight="1" x14ac:dyDescent="0.35">
      <c r="A2" s="378" t="s">
        <v>103</v>
      </c>
      <c r="B2" s="339"/>
      <c r="C2" s="339"/>
      <c r="D2" s="339"/>
      <c r="E2" s="339"/>
      <c r="F2" s="339"/>
      <c r="G2" s="339"/>
      <c r="H2" s="339"/>
    </row>
    <row r="3" spans="1:8" ht="8.15" customHeight="1" x14ac:dyDescent="0.35"/>
    <row r="4" spans="1:8" ht="20.149999999999999" customHeight="1" x14ac:dyDescent="0.35">
      <c r="A4" s="379" t="s">
        <v>104</v>
      </c>
      <c r="B4" s="339"/>
      <c r="C4" s="377" t="s">
        <v>105</v>
      </c>
      <c r="D4" s="339"/>
      <c r="E4" s="381" t="s">
        <v>106</v>
      </c>
      <c r="F4" s="339"/>
      <c r="G4" s="380" t="s">
        <v>107</v>
      </c>
      <c r="H4" s="339"/>
    </row>
    <row r="5" spans="1:8" ht="24" customHeight="1" x14ac:dyDescent="0.35">
      <c r="A5" s="368">
        <f>COUNTA(Datos!$M$3:$M$111)</f>
        <v>109</v>
      </c>
      <c r="B5" s="339"/>
      <c r="C5" s="367">
        <f>COUNTIF(Datos!$M$3:$M$111,"Asignado")</f>
        <v>86</v>
      </c>
      <c r="D5" s="339"/>
      <c r="E5" s="370">
        <f>COUNTIF(Datos!$M$3:$M$111,"Disponible")</f>
        <v>0</v>
      </c>
      <c r="F5" s="339"/>
      <c r="G5" s="369">
        <f>COUNTIF(Datos!$M$3:$M$111,"Back Up")</f>
        <v>17</v>
      </c>
      <c r="H5" s="339"/>
    </row>
    <row r="6" spans="1:8" ht="24" customHeight="1" x14ac:dyDescent="0.35">
      <c r="A6" s="339"/>
      <c r="B6" s="339"/>
      <c r="C6" s="339"/>
      <c r="D6" s="339"/>
      <c r="E6" s="339"/>
      <c r="F6" s="339"/>
      <c r="G6" s="339"/>
      <c r="H6" s="339"/>
    </row>
    <row r="7" spans="1:8" ht="20.149999999999999" customHeight="1" x14ac:dyDescent="0.35">
      <c r="A7" s="372"/>
      <c r="B7" s="339"/>
      <c r="C7" s="372" t="str">
        <f>TEXT(COUNTIF(Datos!$M$3:$M$111,"Asignado")/COUNTA(Datos!$M$3:$M$111),"0.0%")&amp;" de la flota"</f>
        <v>79% de la flota</v>
      </c>
      <c r="D7" s="339"/>
      <c r="E7" s="374" t="str">
        <f>TEXT(COUNTIF(Datos!$M$3:$M$111,"Disponible")/COUNTA(Datos!$M$3:$M$111),"0.0%")&amp;" de la flota"</f>
        <v>00% de la flota</v>
      </c>
      <c r="F7" s="339"/>
      <c r="G7" s="373" t="str">
        <f>TEXT(COUNTIF(Datos!$M$3:$M$111,"Back Up")/COUNTA(Datos!$M$3:$M$111),"0.0%")&amp;" de la flota"</f>
        <v>16% de la flota</v>
      </c>
      <c r="H7" s="339"/>
    </row>
    <row r="8" spans="1:8" ht="20.149999999999999" customHeight="1" x14ac:dyDescent="0.35">
      <c r="A8" s="376" t="s">
        <v>108</v>
      </c>
      <c r="B8" s="339"/>
      <c r="C8" s="371" t="str">
        <f>COUNTIF(Datos!$M$3:$M$111,"En Reparación")&amp;" unidades  ·  "&amp;TEXT(COUNTIF(Datos!$M$3:$M$111,"En Reparación")/COUNTA(Datos!$M$3:$M$111),"0.0%")&amp;" de la flota"</f>
        <v>6 unidades  ·  06% de la flota</v>
      </c>
      <c r="D8" s="339"/>
      <c r="E8" s="339"/>
      <c r="F8" s="339"/>
      <c r="G8" s="339"/>
      <c r="H8" s="339"/>
    </row>
    <row r="9" spans="1:8" ht="10" customHeight="1" x14ac:dyDescent="0.35"/>
    <row r="10" spans="1:8" ht="22" customHeight="1" x14ac:dyDescent="0.35">
      <c r="A10" s="366" t="s">
        <v>109</v>
      </c>
      <c r="B10" s="339"/>
      <c r="C10" s="339"/>
      <c r="D10" s="339"/>
      <c r="E10" s="339"/>
      <c r="F10" s="339"/>
      <c r="G10" s="339"/>
      <c r="H10" s="339"/>
    </row>
    <row r="11" spans="1:8" ht="18" customHeight="1" x14ac:dyDescent="0.35">
      <c r="A11" s="171" t="s">
        <v>64</v>
      </c>
      <c r="B11" s="171" t="s">
        <v>66</v>
      </c>
      <c r="C11" s="171" t="s">
        <v>110</v>
      </c>
      <c r="D11" s="171" t="s">
        <v>111</v>
      </c>
      <c r="E11" s="171" t="s">
        <v>76</v>
      </c>
      <c r="F11" s="171" t="s">
        <v>82</v>
      </c>
      <c r="G11" s="171" t="s">
        <v>112</v>
      </c>
      <c r="H11" s="171" t="s">
        <v>113</v>
      </c>
    </row>
    <row r="12" spans="1:8" ht="17.149999999999999" customHeight="1" x14ac:dyDescent="0.35">
      <c r="A12" s="175" t="s">
        <v>117</v>
      </c>
      <c r="B12" s="176">
        <f>COUNTIF(Datos!$A$3:$A$111,A12)</f>
        <v>45</v>
      </c>
      <c r="C12" s="176">
        <f>COUNTIFS(Datos!$A$3:$A$111,A12,Datos!$M$3:$M$111,"Asignado")</f>
        <v>36</v>
      </c>
      <c r="D12" s="176">
        <f>COUNTIFS(Datos!$A$3:$A$111,A12,Datos!$M$3:$M$111,"Disponible")</f>
        <v>0</v>
      </c>
      <c r="E12" s="176">
        <f>COUNTIFS(Datos!$A$3:$A$111,A12,Datos!$M$3:$M$111,"Back Up")</f>
        <v>6</v>
      </c>
      <c r="F12" s="176">
        <f>COUNTIFS(Datos!$A$3:$A$111,A12,Datos!$M$3:$M$111,"En Reparación")</f>
        <v>3</v>
      </c>
      <c r="G12" s="177">
        <f>D12/B12</f>
        <v>0</v>
      </c>
      <c r="H12" s="177">
        <f>C12/B12</f>
        <v>0.8</v>
      </c>
    </row>
    <row r="13" spans="1:8" ht="17.149999999999999" customHeight="1" x14ac:dyDescent="0.35">
      <c r="A13" s="175" t="s">
        <v>119</v>
      </c>
      <c r="B13" s="176">
        <f>COUNTIF(Datos!$A$3:$A$111,A13)</f>
        <v>22</v>
      </c>
      <c r="C13" s="176">
        <f>COUNTIFS(Datos!$A$3:$A$111,A13,Datos!$M$3:$M$111,"Asignado")</f>
        <v>13</v>
      </c>
      <c r="D13" s="176">
        <f>COUNTIFS(Datos!$A$3:$A$111,A13,Datos!$M$3:$M$111,"Disponible")</f>
        <v>0</v>
      </c>
      <c r="E13" s="176">
        <f>COUNTIFS(Datos!$A$3:$A$111,A13,Datos!$M$3:$M$111,"Back Up")</f>
        <v>6</v>
      </c>
      <c r="F13" s="176">
        <f>COUNTIFS(Datos!$A$3:$A$111,A13,Datos!$M$3:$M$111,"En Reparación")</f>
        <v>3</v>
      </c>
      <c r="G13" s="177">
        <f>D13/B13</f>
        <v>0</v>
      </c>
      <c r="H13" s="177">
        <f>C13/B13</f>
        <v>0.59090909090909094</v>
      </c>
    </row>
    <row r="14" spans="1:8" ht="17.149999999999999" customHeight="1" x14ac:dyDescent="0.35">
      <c r="A14" s="172" t="s">
        <v>118</v>
      </c>
      <c r="B14" s="173">
        <f>COUNTIF(Datos!$A$3:$A$111,A14)</f>
        <v>10</v>
      </c>
      <c r="C14" s="173">
        <f>COUNTIFS(Datos!$A$3:$A$111,A14,Datos!$M$3:$M$111,"Asignado")</f>
        <v>6</v>
      </c>
      <c r="D14" s="173">
        <f>COUNTIFS(Datos!$A$3:$A$111,A14,Datos!$M$3:$M$111,"Disponible")</f>
        <v>0</v>
      </c>
      <c r="E14" s="173">
        <f>COUNTIFS(Datos!$A$3:$A$111,A14,Datos!$M$3:$M$111,"Back Up")</f>
        <v>4</v>
      </c>
      <c r="F14" s="173">
        <f>COUNTIFS(Datos!$A$3:$A$111,A14,Datos!$M$3:$M$111,"En Reparación")</f>
        <v>0</v>
      </c>
      <c r="G14" s="174">
        <f t="shared" ref="G14" si="0">D14/B14</f>
        <v>0</v>
      </c>
      <c r="H14" s="174">
        <f t="shared" ref="H14" si="1">C14/B14</f>
        <v>0.6</v>
      </c>
    </row>
    <row r="15" spans="1:8" ht="17.149999999999999" customHeight="1" x14ac:dyDescent="0.35">
      <c r="A15" s="175" t="s">
        <v>120</v>
      </c>
      <c r="B15" s="176">
        <f>COUNTIF(Datos!$A$3:$A$111,A15)</f>
        <v>3</v>
      </c>
      <c r="C15" s="176">
        <f>COUNTIFS(Datos!$A$3:$A$111,A15,Datos!$M$3:$M$111,"Asignado")</f>
        <v>2</v>
      </c>
      <c r="D15" s="176">
        <f>COUNTIFS(Datos!$A$3:$A$111,A15,Datos!$M$3:$M$111,"Disponible")</f>
        <v>0</v>
      </c>
      <c r="E15" s="176">
        <f>COUNTIFS(Datos!$A$3:$A$111,A15,Datos!$M$3:$M$111,"Back Up")</f>
        <v>1</v>
      </c>
      <c r="F15" s="176">
        <f>COUNTIFS(Datos!$A$3:$A$111,A15,Datos!$M$3:$M$111,"En Reparación")</f>
        <v>0</v>
      </c>
      <c r="G15" s="177">
        <f t="shared" ref="G15" si="2">D15/B15</f>
        <v>0</v>
      </c>
      <c r="H15" s="177">
        <f t="shared" ref="H15" si="3">C15/B15</f>
        <v>0.66666666666666663</v>
      </c>
    </row>
    <row r="16" spans="1:8" ht="17.149999999999999" customHeight="1" x14ac:dyDescent="0.35">
      <c r="A16" s="172" t="s">
        <v>114</v>
      </c>
      <c r="B16" s="173">
        <f>COUNTIF(Datos!$A$3:$A$111,A16)</f>
        <v>20</v>
      </c>
      <c r="C16" s="173">
        <f>COUNTIFS(Datos!$A$3:$A$111,A16,Datos!$M$3:$M$111,"Asignado")</f>
        <v>20</v>
      </c>
      <c r="D16" s="173">
        <f>COUNTIFS(Datos!$A$3:$A$111,A16,Datos!$M$3:$M$111,"Disponible")</f>
        <v>0</v>
      </c>
      <c r="E16" s="173">
        <f>COUNTIFS(Datos!$A$3:$A$111,A16,Datos!$M$3:$M$111,"Back Up")</f>
        <v>0</v>
      </c>
      <c r="F16" s="173">
        <f>COUNTIFS(Datos!$A$3:$A$111,A16,Datos!$M$3:$M$111,"En Reparación")</f>
        <v>0</v>
      </c>
      <c r="G16" s="174">
        <f>D16/B16</f>
        <v>0</v>
      </c>
      <c r="H16" s="174">
        <f>C16/B16</f>
        <v>1</v>
      </c>
    </row>
    <row r="17" spans="1:8" ht="17.149999999999999" customHeight="1" x14ac:dyDescent="0.35">
      <c r="A17" s="172" t="s">
        <v>116</v>
      </c>
      <c r="B17" s="173">
        <f>COUNTIF(Datos!$A$3:$A$111,A17)</f>
        <v>6</v>
      </c>
      <c r="C17" s="173">
        <f>COUNTIFS(Datos!$A$3:$A$111,A17,Datos!$M$3:$M$111,"Asignado")</f>
        <v>6</v>
      </c>
      <c r="D17" s="173">
        <f>COUNTIFS(Datos!$A$3:$A$111,A17,Datos!$M$3:$M$111,"Disponible")</f>
        <v>0</v>
      </c>
      <c r="E17" s="173">
        <f>COUNTIFS(Datos!$A$3:$A$111,A17,Datos!$M$3:$M$111,"Back Up")</f>
        <v>0</v>
      </c>
      <c r="F17" s="173">
        <f>COUNTIFS(Datos!$A$3:$A$111,A17,Datos!$M$3:$M$111,"En Reparación")</f>
        <v>0</v>
      </c>
      <c r="G17" s="174">
        <f>D17/B17</f>
        <v>0</v>
      </c>
      <c r="H17" s="174">
        <f>C17/B17</f>
        <v>1</v>
      </c>
    </row>
    <row r="18" spans="1:8" ht="17.149999999999999" customHeight="1" x14ac:dyDescent="0.35">
      <c r="A18" s="175" t="s">
        <v>115</v>
      </c>
      <c r="B18" s="176">
        <f>COUNTIF(Datos!$A$3:$A$111,A18)</f>
        <v>2</v>
      </c>
      <c r="C18" s="176">
        <f>COUNTIFS(Datos!$A$3:$A$111,A18,Datos!$M$3:$M$111,"Asignado")</f>
        <v>2</v>
      </c>
      <c r="D18" s="176">
        <f>COUNTIFS(Datos!$A$3:$A$111,A18,Datos!$M$3:$M$111,"Disponible")</f>
        <v>0</v>
      </c>
      <c r="E18" s="176">
        <f>COUNTIFS(Datos!$A$3:$A$111,A18,Datos!$M$3:$M$111,"Back Up")</f>
        <v>0</v>
      </c>
      <c r="F18" s="176">
        <f>COUNTIFS(Datos!$A$3:$A$111,A18,Datos!$M$3:$M$111,"En Reparación")</f>
        <v>0</v>
      </c>
      <c r="G18" s="177">
        <f>D18/B18</f>
        <v>0</v>
      </c>
      <c r="H18" s="177">
        <f>C18/B18</f>
        <v>1</v>
      </c>
    </row>
    <row r="19" spans="1:8" ht="17.149999999999999" customHeight="1" x14ac:dyDescent="0.35">
      <c r="A19" s="175" t="s">
        <v>121</v>
      </c>
      <c r="B19" s="176">
        <f>COUNTIF(Datos!$A$3:$A$111,A19)</f>
        <v>1</v>
      </c>
      <c r="C19" s="176">
        <f>COUNTIFS(Datos!$A$3:$A$111,A19,Datos!$M$3:$M$111,"Asignado")</f>
        <v>1</v>
      </c>
      <c r="D19" s="176">
        <f>COUNTIFS(Datos!$A$3:$A$111,A19,Datos!$M$3:$M$111,"Disponible")</f>
        <v>0</v>
      </c>
      <c r="E19" s="176">
        <f>COUNTIFS(Datos!$A$3:$A$111,A19,Datos!$M$3:$M$111,"Back Up")</f>
        <v>0</v>
      </c>
      <c r="F19" s="176">
        <f>COUNTIFS(Datos!$A$3:$A$111,A19,Datos!$M$3:$M$111,"En Reparación")</f>
        <v>0</v>
      </c>
      <c r="G19" s="177">
        <f>D19/B19</f>
        <v>0</v>
      </c>
      <c r="H19" s="177">
        <f>C19/B19</f>
        <v>1</v>
      </c>
    </row>
    <row r="20" spans="1:8" ht="20.149999999999999" customHeight="1" x14ac:dyDescent="0.35">
      <c r="A20" s="178" t="s">
        <v>25</v>
      </c>
      <c r="B20" s="178">
        <f>SUM(B12:B19)</f>
        <v>109</v>
      </c>
      <c r="C20" s="178">
        <f t="shared" ref="C20:F20" si="4">SUM(C12:C19)</f>
        <v>86</v>
      </c>
      <c r="D20" s="178">
        <f t="shared" si="4"/>
        <v>0</v>
      </c>
      <c r="E20" s="178">
        <f t="shared" si="4"/>
        <v>17</v>
      </c>
      <c r="F20" s="178">
        <f t="shared" si="4"/>
        <v>6</v>
      </c>
      <c r="G20" s="179">
        <f>D20/B20</f>
        <v>0</v>
      </c>
      <c r="H20" s="179">
        <f>C20/B20</f>
        <v>0.78899082568807344</v>
      </c>
    </row>
  </sheetData>
  <mergeCells count="17">
    <mergeCell ref="A1:H1"/>
    <mergeCell ref="A8:B8"/>
    <mergeCell ref="C4:D4"/>
    <mergeCell ref="A2:H2"/>
    <mergeCell ref="A4:B4"/>
    <mergeCell ref="G4:H4"/>
    <mergeCell ref="E4:F4"/>
    <mergeCell ref="A10:H10"/>
    <mergeCell ref="C5:D6"/>
    <mergeCell ref="A5:B6"/>
    <mergeCell ref="G5:H6"/>
    <mergeCell ref="E5:F6"/>
    <mergeCell ref="C8:H8"/>
    <mergeCell ref="C7:D7"/>
    <mergeCell ref="A7:B7"/>
    <mergeCell ref="G7:H7"/>
    <mergeCell ref="E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U111"/>
  <sheetViews>
    <sheetView showGridLines="0" zoomScale="110" zoomScaleNormal="110" workbookViewId="0">
      <pane ySplit="2" topLeftCell="A3" activePane="bottomLeft" state="frozen"/>
      <selection pane="bottomLeft" activeCell="A2" sqref="A2"/>
    </sheetView>
  </sheetViews>
  <sheetFormatPr baseColWidth="10" defaultColWidth="8.81640625" defaultRowHeight="14.5" x14ac:dyDescent="0.35"/>
  <cols>
    <col min="1" max="1" width="17.7265625" bestFit="1" customWidth="1"/>
    <col min="2" max="2" width="9.81640625" bestFit="1" customWidth="1"/>
    <col min="3" max="3" width="10" customWidth="1"/>
    <col min="4" max="4" width="12" customWidth="1"/>
    <col min="5" max="5" width="14.81640625" customWidth="1"/>
    <col min="6" max="6" width="26" customWidth="1"/>
    <col min="7" max="7" width="7" customWidth="1"/>
    <col min="8" max="8" width="29" bestFit="1" customWidth="1"/>
    <col min="9" max="9" width="37.54296875" bestFit="1" customWidth="1"/>
    <col min="10" max="10" width="41.7265625" customWidth="1"/>
    <col min="11" max="11" width="26" customWidth="1"/>
    <col min="12" max="12" width="16" customWidth="1"/>
    <col min="13" max="13" width="14" customWidth="1"/>
    <col min="14" max="14" width="16" customWidth="1"/>
    <col min="15" max="19" width="13" customWidth="1"/>
    <col min="20" max="20" width="17.26953125" bestFit="1" customWidth="1"/>
  </cols>
  <sheetData>
    <row r="1" spans="1:21" ht="22" customHeight="1" x14ac:dyDescent="0.35">
      <c r="A1" s="382" t="s">
        <v>122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</row>
    <row r="2" spans="1:21" ht="20.149999999999999" customHeight="1" x14ac:dyDescent="0.35">
      <c r="A2" s="171" t="s">
        <v>64</v>
      </c>
      <c r="B2" s="171" t="s">
        <v>123</v>
      </c>
      <c r="C2" s="171" t="s">
        <v>124</v>
      </c>
      <c r="D2" s="171" t="s">
        <v>125</v>
      </c>
      <c r="E2" s="171" t="s">
        <v>126</v>
      </c>
      <c r="F2" s="171" t="s">
        <v>127</v>
      </c>
      <c r="G2" s="171" t="s">
        <v>128</v>
      </c>
      <c r="H2" s="171" t="s">
        <v>129</v>
      </c>
      <c r="I2" s="171" t="s">
        <v>130</v>
      </c>
      <c r="J2" s="171" t="s">
        <v>131</v>
      </c>
      <c r="K2" s="171" t="s">
        <v>132</v>
      </c>
      <c r="L2" s="171" t="s">
        <v>133</v>
      </c>
      <c r="M2" s="171" t="s">
        <v>134</v>
      </c>
      <c r="N2" s="171" t="s">
        <v>135</v>
      </c>
      <c r="O2" s="2" t="s">
        <v>136</v>
      </c>
      <c r="P2" s="3" t="s">
        <v>137</v>
      </c>
      <c r="Q2" s="4" t="s">
        <v>138</v>
      </c>
      <c r="R2" s="5" t="s">
        <v>139</v>
      </c>
      <c r="S2" s="6" t="s">
        <v>140</v>
      </c>
      <c r="T2" t="s">
        <v>717</v>
      </c>
      <c r="U2" t="s">
        <v>723</v>
      </c>
    </row>
    <row r="3" spans="1:21" ht="15" customHeight="1" x14ac:dyDescent="0.35">
      <c r="A3" s="180" t="s">
        <v>120</v>
      </c>
      <c r="B3" s="180" t="s">
        <v>141</v>
      </c>
      <c r="C3" s="180" t="s">
        <v>142</v>
      </c>
      <c r="D3" s="180" t="s">
        <v>143</v>
      </c>
      <c r="E3" s="180" t="s">
        <v>144</v>
      </c>
      <c r="F3" s="280" t="s">
        <v>145</v>
      </c>
      <c r="G3" s="180">
        <v>2017</v>
      </c>
      <c r="H3" s="181" t="s">
        <v>146</v>
      </c>
      <c r="I3" s="181" t="s">
        <v>120</v>
      </c>
      <c r="J3" s="181"/>
      <c r="K3" s="181"/>
      <c r="L3" s="180" t="s">
        <v>147</v>
      </c>
      <c r="M3" s="182" t="s">
        <v>148</v>
      </c>
      <c r="N3" s="182" t="s">
        <v>149</v>
      </c>
      <c r="O3" s="7" t="str">
        <f t="shared" ref="O3:O34" si="0">IF(ISNUMBER(SEARCH("UTIM",A3)),"UTIM","Logística")</f>
        <v>Logística</v>
      </c>
      <c r="P3" s="7">
        <f t="shared" ref="P3:P34" si="1">2026-G3</f>
        <v>9</v>
      </c>
      <c r="Q3" s="7">
        <f t="shared" ref="Q3:Q34" si="2">IF(I3="UCI","",IF(I3="VISTA OIL",5,IF(B3="Petróleo",8,IF(B3="Minería",3,10))))</f>
        <v>8</v>
      </c>
      <c r="R3" s="7">
        <f t="shared" ref="R3:R34" si="3">IF(Q3="","",G3+Q3+1)</f>
        <v>2026</v>
      </c>
      <c r="S3" s="7">
        <f t="shared" ref="S3:S34" si="4">IF(Q3="","",IF(AND(B3="Minería",P3&lt;=8),G3+8+1,R3))</f>
        <v>2026</v>
      </c>
    </row>
    <row r="4" spans="1:21" ht="15" customHeight="1" x14ac:dyDescent="0.35">
      <c r="A4" s="180" t="s">
        <v>118</v>
      </c>
      <c r="B4" s="180" t="s">
        <v>277</v>
      </c>
      <c r="C4" s="180" t="s">
        <v>150</v>
      </c>
      <c r="D4" s="281" t="s">
        <v>151</v>
      </c>
      <c r="E4" s="180" t="s">
        <v>152</v>
      </c>
      <c r="F4" s="181" t="s">
        <v>153</v>
      </c>
      <c r="G4" s="180">
        <v>2017</v>
      </c>
      <c r="H4" s="181" t="s">
        <v>154</v>
      </c>
      <c r="I4" s="181" t="s">
        <v>107</v>
      </c>
      <c r="J4" s="181"/>
      <c r="K4" s="181"/>
      <c r="L4" s="180" t="s">
        <v>155</v>
      </c>
      <c r="M4" s="182" t="s">
        <v>76</v>
      </c>
      <c r="N4" s="182" t="s">
        <v>76</v>
      </c>
      <c r="O4" s="8" t="str">
        <f t="shared" si="0"/>
        <v>UTIM</v>
      </c>
      <c r="P4" s="8">
        <f t="shared" si="1"/>
        <v>9</v>
      </c>
      <c r="Q4" s="8">
        <f t="shared" si="2"/>
        <v>10</v>
      </c>
      <c r="R4" s="8">
        <f t="shared" si="3"/>
        <v>2028</v>
      </c>
      <c r="S4" s="8">
        <f t="shared" si="4"/>
        <v>2028</v>
      </c>
    </row>
    <row r="5" spans="1:21" ht="15" customHeight="1" x14ac:dyDescent="0.35">
      <c r="A5" s="183" t="s">
        <v>117</v>
      </c>
      <c r="B5" s="183" t="s">
        <v>156</v>
      </c>
      <c r="C5" s="183" t="s">
        <v>157</v>
      </c>
      <c r="D5" s="281" t="s">
        <v>158</v>
      </c>
      <c r="E5" s="183" t="s">
        <v>152</v>
      </c>
      <c r="F5" s="184" t="s">
        <v>159</v>
      </c>
      <c r="G5" s="183">
        <v>2017</v>
      </c>
      <c r="H5" s="184" t="s">
        <v>146</v>
      </c>
      <c r="I5" s="184" t="s">
        <v>712</v>
      </c>
      <c r="J5" s="184" t="s">
        <v>161</v>
      </c>
      <c r="K5" s="184" t="s">
        <v>162</v>
      </c>
      <c r="L5" s="183" t="s">
        <v>147</v>
      </c>
      <c r="M5" s="185" t="s">
        <v>148</v>
      </c>
      <c r="N5" s="185" t="s">
        <v>149</v>
      </c>
      <c r="O5" s="7" t="str">
        <f t="shared" si="0"/>
        <v>UTIM</v>
      </c>
      <c r="P5" s="7">
        <f t="shared" si="1"/>
        <v>9</v>
      </c>
      <c r="Q5" s="7">
        <f t="shared" si="2"/>
        <v>10</v>
      </c>
      <c r="R5" s="7">
        <f t="shared" si="3"/>
        <v>2028</v>
      </c>
      <c r="S5" s="7">
        <f t="shared" si="4"/>
        <v>2028</v>
      </c>
    </row>
    <row r="6" spans="1:21" ht="15" customHeight="1" x14ac:dyDescent="0.35">
      <c r="A6" s="183" t="s">
        <v>117</v>
      </c>
      <c r="B6" s="183" t="s">
        <v>141</v>
      </c>
      <c r="C6" s="183" t="s">
        <v>163</v>
      </c>
      <c r="D6" s="281" t="s">
        <v>164</v>
      </c>
      <c r="E6" s="183" t="s">
        <v>152</v>
      </c>
      <c r="F6" s="184" t="s">
        <v>159</v>
      </c>
      <c r="G6" s="183">
        <v>2017</v>
      </c>
      <c r="H6" s="184" t="s">
        <v>165</v>
      </c>
      <c r="I6" s="184" t="s">
        <v>107</v>
      </c>
      <c r="J6" s="184" t="s">
        <v>166</v>
      </c>
      <c r="K6" s="184"/>
      <c r="L6" s="183" t="s">
        <v>67</v>
      </c>
      <c r="M6" s="185" t="s">
        <v>82</v>
      </c>
      <c r="N6" s="185" t="s">
        <v>82</v>
      </c>
      <c r="O6" s="8" t="str">
        <f t="shared" si="0"/>
        <v>UTIM</v>
      </c>
      <c r="P6" s="8">
        <f t="shared" si="1"/>
        <v>9</v>
      </c>
      <c r="Q6" s="8">
        <f t="shared" si="2"/>
        <v>8</v>
      </c>
      <c r="R6" s="8">
        <f t="shared" si="3"/>
        <v>2026</v>
      </c>
      <c r="S6" s="8">
        <f t="shared" si="4"/>
        <v>2026</v>
      </c>
      <c r="T6" t="s">
        <v>716</v>
      </c>
      <c r="U6" t="s">
        <v>722</v>
      </c>
    </row>
    <row r="7" spans="1:21" ht="15" customHeight="1" x14ac:dyDescent="0.35">
      <c r="A7" s="183" t="s">
        <v>117</v>
      </c>
      <c r="B7" s="183" t="s">
        <v>277</v>
      </c>
      <c r="C7" s="183" t="s">
        <v>167</v>
      </c>
      <c r="D7" s="281" t="s">
        <v>168</v>
      </c>
      <c r="E7" s="183" t="s">
        <v>152</v>
      </c>
      <c r="F7" s="184" t="s">
        <v>182</v>
      </c>
      <c r="G7" s="183">
        <v>2017</v>
      </c>
      <c r="H7" s="184" t="s">
        <v>165</v>
      </c>
      <c r="I7" s="184" t="s">
        <v>107</v>
      </c>
      <c r="J7" s="184" t="s">
        <v>169</v>
      </c>
      <c r="K7" s="184"/>
      <c r="L7" s="183" t="s">
        <v>67</v>
      </c>
      <c r="M7" s="191" t="s">
        <v>82</v>
      </c>
      <c r="N7" s="191" t="s">
        <v>82</v>
      </c>
      <c r="O7" s="7" t="str">
        <f t="shared" si="0"/>
        <v>UTIM</v>
      </c>
      <c r="P7" s="7">
        <f t="shared" si="1"/>
        <v>9</v>
      </c>
      <c r="Q7" s="7">
        <f t="shared" si="2"/>
        <v>10</v>
      </c>
      <c r="R7" s="7">
        <f t="shared" si="3"/>
        <v>2028</v>
      </c>
      <c r="S7" s="7">
        <f t="shared" si="4"/>
        <v>2028</v>
      </c>
      <c r="T7" t="s">
        <v>720</v>
      </c>
      <c r="U7" t="s">
        <v>724</v>
      </c>
    </row>
    <row r="8" spans="1:21" ht="15" customHeight="1" x14ac:dyDescent="0.35">
      <c r="A8" s="183" t="s">
        <v>117</v>
      </c>
      <c r="B8" s="183" t="s">
        <v>156</v>
      </c>
      <c r="C8" s="183" t="s">
        <v>170</v>
      </c>
      <c r="D8" s="281" t="s">
        <v>171</v>
      </c>
      <c r="E8" s="183" t="s">
        <v>152</v>
      </c>
      <c r="F8" s="184" t="s">
        <v>159</v>
      </c>
      <c r="G8" s="183">
        <v>2017</v>
      </c>
      <c r="H8" s="184" t="s">
        <v>165</v>
      </c>
      <c r="I8" s="184" t="s">
        <v>712</v>
      </c>
      <c r="J8" s="184" t="s">
        <v>161</v>
      </c>
      <c r="K8" s="184" t="s">
        <v>162</v>
      </c>
      <c r="L8" s="183" t="s">
        <v>67</v>
      </c>
      <c r="M8" s="185" t="s">
        <v>148</v>
      </c>
      <c r="N8" s="185" t="s">
        <v>149</v>
      </c>
      <c r="O8" s="8" t="str">
        <f t="shared" si="0"/>
        <v>UTIM</v>
      </c>
      <c r="P8" s="8">
        <f t="shared" si="1"/>
        <v>9</v>
      </c>
      <c r="Q8" s="8">
        <f t="shared" si="2"/>
        <v>10</v>
      </c>
      <c r="R8" s="8">
        <f t="shared" si="3"/>
        <v>2028</v>
      </c>
      <c r="S8" s="8">
        <f t="shared" si="4"/>
        <v>2028</v>
      </c>
    </row>
    <row r="9" spans="1:21" ht="15" customHeight="1" x14ac:dyDescent="0.35">
      <c r="A9" s="183" t="s">
        <v>117</v>
      </c>
      <c r="B9" s="183" t="s">
        <v>156</v>
      </c>
      <c r="C9" s="183" t="s">
        <v>172</v>
      </c>
      <c r="D9" s="281" t="s">
        <v>173</v>
      </c>
      <c r="E9" s="183" t="s">
        <v>152</v>
      </c>
      <c r="F9" s="184" t="s">
        <v>159</v>
      </c>
      <c r="G9" s="183">
        <v>2017</v>
      </c>
      <c r="H9" s="184" t="s">
        <v>154</v>
      </c>
      <c r="I9" s="184" t="s">
        <v>545</v>
      </c>
      <c r="J9" s="184" t="s">
        <v>174</v>
      </c>
      <c r="K9" s="184"/>
      <c r="L9" s="183" t="s">
        <v>155</v>
      </c>
      <c r="M9" s="185" t="s">
        <v>148</v>
      </c>
      <c r="N9" s="185"/>
      <c r="O9" s="7" t="str">
        <f t="shared" si="0"/>
        <v>UTIM</v>
      </c>
      <c r="P9" s="7">
        <f t="shared" si="1"/>
        <v>9</v>
      </c>
      <c r="Q9" s="7">
        <f t="shared" si="2"/>
        <v>10</v>
      </c>
      <c r="R9" s="7">
        <f t="shared" si="3"/>
        <v>2028</v>
      </c>
      <c r="S9" s="7">
        <f t="shared" si="4"/>
        <v>2028</v>
      </c>
    </row>
    <row r="10" spans="1:21" ht="15" customHeight="1" x14ac:dyDescent="0.35">
      <c r="A10" s="183" t="s">
        <v>117</v>
      </c>
      <c r="B10" s="183" t="s">
        <v>156</v>
      </c>
      <c r="C10" s="183" t="s">
        <v>175</v>
      </c>
      <c r="D10" s="281" t="s">
        <v>176</v>
      </c>
      <c r="E10" s="183" t="s">
        <v>152</v>
      </c>
      <c r="F10" s="184" t="s">
        <v>159</v>
      </c>
      <c r="G10" s="183">
        <v>2017</v>
      </c>
      <c r="H10" s="184" t="s">
        <v>177</v>
      </c>
      <c r="I10" s="184" t="s">
        <v>107</v>
      </c>
      <c r="J10" s="184" t="s">
        <v>178</v>
      </c>
      <c r="K10" s="184"/>
      <c r="L10" s="183" t="s">
        <v>179</v>
      </c>
      <c r="M10" s="185" t="s">
        <v>76</v>
      </c>
      <c r="N10" s="185" t="s">
        <v>76</v>
      </c>
      <c r="O10" s="8" t="str">
        <f t="shared" si="0"/>
        <v>UTIM</v>
      </c>
      <c r="P10" s="8">
        <f t="shared" si="1"/>
        <v>9</v>
      </c>
      <c r="Q10" s="8">
        <f t="shared" si="2"/>
        <v>10</v>
      </c>
      <c r="R10" s="8">
        <f t="shared" si="3"/>
        <v>2028</v>
      </c>
      <c r="S10" s="8">
        <f t="shared" si="4"/>
        <v>2028</v>
      </c>
    </row>
    <row r="11" spans="1:21" ht="15" customHeight="1" x14ac:dyDescent="0.35">
      <c r="A11" s="183" t="s">
        <v>117</v>
      </c>
      <c r="B11" s="183" t="s">
        <v>156</v>
      </c>
      <c r="C11" s="183" t="s">
        <v>180</v>
      </c>
      <c r="D11" s="183" t="s">
        <v>181</v>
      </c>
      <c r="E11" s="183" t="s">
        <v>152</v>
      </c>
      <c r="F11" s="184" t="s">
        <v>182</v>
      </c>
      <c r="G11" s="183">
        <v>2018</v>
      </c>
      <c r="H11" s="184" t="s">
        <v>146</v>
      </c>
      <c r="I11" s="184" t="s">
        <v>107</v>
      </c>
      <c r="J11" s="184" t="s">
        <v>183</v>
      </c>
      <c r="K11" s="184"/>
      <c r="L11" s="183" t="s">
        <v>67</v>
      </c>
      <c r="M11" s="185" t="s">
        <v>76</v>
      </c>
      <c r="N11" s="185" t="s">
        <v>76</v>
      </c>
      <c r="O11" s="7" t="str">
        <f t="shared" si="0"/>
        <v>UTIM</v>
      </c>
      <c r="P11" s="7">
        <f t="shared" si="1"/>
        <v>8</v>
      </c>
      <c r="Q11" s="7">
        <f t="shared" si="2"/>
        <v>10</v>
      </c>
      <c r="R11" s="7">
        <f t="shared" si="3"/>
        <v>2029</v>
      </c>
      <c r="S11" s="7">
        <f t="shared" si="4"/>
        <v>2029</v>
      </c>
    </row>
    <row r="12" spans="1:21" ht="15" customHeight="1" x14ac:dyDescent="0.35">
      <c r="A12" s="180" t="s">
        <v>117</v>
      </c>
      <c r="B12" s="180" t="s">
        <v>141</v>
      </c>
      <c r="C12" s="180" t="s">
        <v>184</v>
      </c>
      <c r="D12" s="180" t="s">
        <v>185</v>
      </c>
      <c r="E12" s="180" t="s">
        <v>152</v>
      </c>
      <c r="F12" s="181" t="s">
        <v>182</v>
      </c>
      <c r="G12" s="180">
        <v>2018</v>
      </c>
      <c r="H12" s="181" t="s">
        <v>165</v>
      </c>
      <c r="I12" s="181" t="s">
        <v>107</v>
      </c>
      <c r="J12" s="181" t="s">
        <v>186</v>
      </c>
      <c r="K12" s="181"/>
      <c r="L12" s="180" t="s">
        <v>67</v>
      </c>
      <c r="M12" s="182" t="s">
        <v>76</v>
      </c>
      <c r="N12" s="182" t="s">
        <v>76</v>
      </c>
      <c r="O12" s="8" t="str">
        <f t="shared" si="0"/>
        <v>UTIM</v>
      </c>
      <c r="P12" s="8">
        <f t="shared" si="1"/>
        <v>8</v>
      </c>
      <c r="Q12" s="8">
        <f t="shared" si="2"/>
        <v>8</v>
      </c>
      <c r="R12" s="8">
        <f t="shared" si="3"/>
        <v>2027</v>
      </c>
      <c r="S12" s="8">
        <f t="shared" si="4"/>
        <v>2027</v>
      </c>
      <c r="T12" t="s">
        <v>716</v>
      </c>
      <c r="U12" t="s">
        <v>725</v>
      </c>
    </row>
    <row r="13" spans="1:21" ht="15" customHeight="1" x14ac:dyDescent="0.35">
      <c r="A13" s="180" t="s">
        <v>117</v>
      </c>
      <c r="B13" s="180" t="s">
        <v>141</v>
      </c>
      <c r="C13" s="180" t="s">
        <v>187</v>
      </c>
      <c r="D13" s="180" t="s">
        <v>188</v>
      </c>
      <c r="E13" s="180" t="s">
        <v>152</v>
      </c>
      <c r="F13" s="181" t="s">
        <v>182</v>
      </c>
      <c r="G13" s="180">
        <v>2019</v>
      </c>
      <c r="H13" s="181" t="s">
        <v>146</v>
      </c>
      <c r="I13" s="181" t="s">
        <v>537</v>
      </c>
      <c r="J13" s="181" t="s">
        <v>189</v>
      </c>
      <c r="K13" s="181" t="s">
        <v>162</v>
      </c>
      <c r="L13" s="180" t="s">
        <v>147</v>
      </c>
      <c r="M13" s="182" t="s">
        <v>148</v>
      </c>
      <c r="N13" s="182" t="s">
        <v>149</v>
      </c>
      <c r="O13" s="7" t="str">
        <f t="shared" si="0"/>
        <v>UTIM</v>
      </c>
      <c r="P13" s="7">
        <f t="shared" si="1"/>
        <v>7</v>
      </c>
      <c r="Q13" s="7">
        <f t="shared" si="2"/>
        <v>8</v>
      </c>
      <c r="R13" s="7">
        <f t="shared" si="3"/>
        <v>2028</v>
      </c>
      <c r="S13" s="7">
        <f t="shared" si="4"/>
        <v>2028</v>
      </c>
    </row>
    <row r="14" spans="1:21" ht="15" customHeight="1" x14ac:dyDescent="0.35">
      <c r="A14" s="180" t="s">
        <v>117</v>
      </c>
      <c r="B14" s="180" t="s">
        <v>141</v>
      </c>
      <c r="C14" s="180" t="s">
        <v>190</v>
      </c>
      <c r="D14" s="180" t="s">
        <v>191</v>
      </c>
      <c r="E14" s="180" t="s">
        <v>152</v>
      </c>
      <c r="F14" s="181" t="s">
        <v>182</v>
      </c>
      <c r="G14" s="180">
        <v>2019</v>
      </c>
      <c r="H14" s="181" t="s">
        <v>165</v>
      </c>
      <c r="I14" s="181" t="s">
        <v>192</v>
      </c>
      <c r="J14" s="181" t="s">
        <v>193</v>
      </c>
      <c r="K14" s="181" t="s">
        <v>162</v>
      </c>
      <c r="L14" s="180" t="s">
        <v>67</v>
      </c>
      <c r="M14" s="182" t="s">
        <v>148</v>
      </c>
      <c r="N14" s="182" t="s">
        <v>149</v>
      </c>
      <c r="O14" s="8" t="str">
        <f t="shared" si="0"/>
        <v>UTIM</v>
      </c>
      <c r="P14" s="8">
        <f t="shared" si="1"/>
        <v>7</v>
      </c>
      <c r="Q14" s="8">
        <f t="shared" si="2"/>
        <v>5</v>
      </c>
      <c r="R14" s="8">
        <f t="shared" si="3"/>
        <v>2025</v>
      </c>
      <c r="S14" s="8">
        <f t="shared" si="4"/>
        <v>2025</v>
      </c>
    </row>
    <row r="15" spans="1:21" ht="15" customHeight="1" x14ac:dyDescent="0.35">
      <c r="A15" s="183" t="s">
        <v>117</v>
      </c>
      <c r="B15" s="183" t="s">
        <v>141</v>
      </c>
      <c r="C15" s="183" t="s">
        <v>194</v>
      </c>
      <c r="D15" s="183" t="s">
        <v>195</v>
      </c>
      <c r="E15" s="183" t="s">
        <v>152</v>
      </c>
      <c r="F15" s="184" t="s">
        <v>182</v>
      </c>
      <c r="G15" s="183">
        <v>2019</v>
      </c>
      <c r="H15" s="184" t="s">
        <v>146</v>
      </c>
      <c r="I15" s="184" t="s">
        <v>107</v>
      </c>
      <c r="J15" s="184" t="s">
        <v>196</v>
      </c>
      <c r="K15" s="184"/>
      <c r="L15" s="183" t="s">
        <v>147</v>
      </c>
      <c r="M15" s="191" t="s">
        <v>82</v>
      </c>
      <c r="N15" s="191" t="s">
        <v>82</v>
      </c>
      <c r="O15" s="7" t="str">
        <f t="shared" si="0"/>
        <v>UTIM</v>
      </c>
      <c r="P15" s="7">
        <f t="shared" si="1"/>
        <v>7</v>
      </c>
      <c r="Q15" s="7">
        <f t="shared" si="2"/>
        <v>8</v>
      </c>
      <c r="R15" s="7">
        <f t="shared" si="3"/>
        <v>2028</v>
      </c>
      <c r="S15" s="7">
        <f t="shared" si="4"/>
        <v>2028</v>
      </c>
    </row>
    <row r="16" spans="1:21" ht="15" customHeight="1" x14ac:dyDescent="0.35">
      <c r="A16" s="183" t="s">
        <v>120</v>
      </c>
      <c r="B16" s="183" t="s">
        <v>141</v>
      </c>
      <c r="C16" s="183" t="s">
        <v>197</v>
      </c>
      <c r="D16" s="183" t="s">
        <v>198</v>
      </c>
      <c r="E16" s="183" t="s">
        <v>152</v>
      </c>
      <c r="F16" s="184" t="s">
        <v>182</v>
      </c>
      <c r="G16" s="183">
        <v>2019</v>
      </c>
      <c r="H16" s="184" t="s">
        <v>146</v>
      </c>
      <c r="I16" s="184" t="s">
        <v>120</v>
      </c>
      <c r="J16" s="184" t="s">
        <v>199</v>
      </c>
      <c r="K16" s="184"/>
      <c r="L16" s="183" t="s">
        <v>147</v>
      </c>
      <c r="M16" s="185" t="s">
        <v>76</v>
      </c>
      <c r="N16" s="185" t="s">
        <v>76</v>
      </c>
      <c r="O16" s="8" t="str">
        <f t="shared" si="0"/>
        <v>Logística</v>
      </c>
      <c r="P16" s="8">
        <f t="shared" si="1"/>
        <v>7</v>
      </c>
      <c r="Q16" s="8">
        <f t="shared" si="2"/>
        <v>8</v>
      </c>
      <c r="R16" s="8">
        <f t="shared" si="3"/>
        <v>2028</v>
      </c>
      <c r="S16" s="8">
        <f t="shared" si="4"/>
        <v>2028</v>
      </c>
    </row>
    <row r="17" spans="1:19" ht="15" customHeight="1" x14ac:dyDescent="0.35">
      <c r="A17" s="180" t="s">
        <v>117</v>
      </c>
      <c r="B17" s="180" t="s">
        <v>141</v>
      </c>
      <c r="C17" s="180" t="s">
        <v>200</v>
      </c>
      <c r="D17" s="180" t="s">
        <v>201</v>
      </c>
      <c r="E17" s="180" t="s">
        <v>152</v>
      </c>
      <c r="F17" s="181" t="s">
        <v>182</v>
      </c>
      <c r="G17" s="180">
        <v>2019</v>
      </c>
      <c r="H17" s="181" t="s">
        <v>165</v>
      </c>
      <c r="I17" s="181" t="s">
        <v>68</v>
      </c>
      <c r="J17" s="181" t="s">
        <v>202</v>
      </c>
      <c r="K17" s="181" t="s">
        <v>162</v>
      </c>
      <c r="L17" s="180" t="s">
        <v>67</v>
      </c>
      <c r="M17" s="182" t="s">
        <v>148</v>
      </c>
      <c r="N17" s="182" t="s">
        <v>149</v>
      </c>
      <c r="O17" s="7" t="str">
        <f t="shared" si="0"/>
        <v>UTIM</v>
      </c>
      <c r="P17" s="7">
        <f t="shared" si="1"/>
        <v>7</v>
      </c>
      <c r="Q17" s="7">
        <f t="shared" si="2"/>
        <v>8</v>
      </c>
      <c r="R17" s="7">
        <f t="shared" si="3"/>
        <v>2028</v>
      </c>
      <c r="S17" s="7">
        <f t="shared" si="4"/>
        <v>2028</v>
      </c>
    </row>
    <row r="18" spans="1:19" ht="15" customHeight="1" x14ac:dyDescent="0.35">
      <c r="A18" s="180" t="s">
        <v>117</v>
      </c>
      <c r="B18" s="180" t="s">
        <v>156</v>
      </c>
      <c r="C18" s="180" t="s">
        <v>203</v>
      </c>
      <c r="D18" s="180" t="s">
        <v>204</v>
      </c>
      <c r="E18" s="180" t="s">
        <v>152</v>
      </c>
      <c r="F18" s="181" t="s">
        <v>182</v>
      </c>
      <c r="G18" s="180">
        <v>2019</v>
      </c>
      <c r="H18" s="181" t="s">
        <v>165</v>
      </c>
      <c r="I18" s="181" t="s">
        <v>712</v>
      </c>
      <c r="J18" s="181" t="s">
        <v>161</v>
      </c>
      <c r="K18" s="181" t="s">
        <v>162</v>
      </c>
      <c r="L18" s="180" t="s">
        <v>67</v>
      </c>
      <c r="M18" s="182" t="s">
        <v>148</v>
      </c>
      <c r="N18" s="182" t="s">
        <v>149</v>
      </c>
      <c r="O18" s="8" t="str">
        <f t="shared" si="0"/>
        <v>UTIM</v>
      </c>
      <c r="P18" s="8">
        <f t="shared" si="1"/>
        <v>7</v>
      </c>
      <c r="Q18" s="8">
        <f t="shared" si="2"/>
        <v>10</v>
      </c>
      <c r="R18" s="8">
        <f t="shared" si="3"/>
        <v>2030</v>
      </c>
      <c r="S18" s="8">
        <f t="shared" si="4"/>
        <v>2030</v>
      </c>
    </row>
    <row r="19" spans="1:19" ht="15" customHeight="1" x14ac:dyDescent="0.35">
      <c r="A19" s="180" t="s">
        <v>117</v>
      </c>
      <c r="B19" s="180" t="s">
        <v>156</v>
      </c>
      <c r="C19" s="180" t="s">
        <v>205</v>
      </c>
      <c r="D19" s="180" t="s">
        <v>206</v>
      </c>
      <c r="E19" s="180" t="s">
        <v>152</v>
      </c>
      <c r="F19" s="181" t="s">
        <v>182</v>
      </c>
      <c r="G19" s="180">
        <v>2019</v>
      </c>
      <c r="H19" s="181" t="s">
        <v>154</v>
      </c>
      <c r="I19" s="181" t="s">
        <v>548</v>
      </c>
      <c r="J19" s="181" t="s">
        <v>207</v>
      </c>
      <c r="K19" s="181"/>
      <c r="L19" s="180" t="s">
        <v>155</v>
      </c>
      <c r="M19" s="182" t="s">
        <v>148</v>
      </c>
      <c r="N19" s="182" t="s">
        <v>149</v>
      </c>
      <c r="O19" s="7" t="str">
        <f t="shared" si="0"/>
        <v>UTIM</v>
      </c>
      <c r="P19" s="7">
        <f t="shared" si="1"/>
        <v>7</v>
      </c>
      <c r="Q19" s="7">
        <f t="shared" si="2"/>
        <v>10</v>
      </c>
      <c r="R19" s="7">
        <f t="shared" si="3"/>
        <v>2030</v>
      </c>
      <c r="S19" s="7">
        <f t="shared" si="4"/>
        <v>2030</v>
      </c>
    </row>
    <row r="20" spans="1:19" ht="15" customHeight="1" x14ac:dyDescent="0.35">
      <c r="A20" s="180" t="s">
        <v>117</v>
      </c>
      <c r="B20" s="180" t="s">
        <v>141</v>
      </c>
      <c r="C20" s="180" t="s">
        <v>208</v>
      </c>
      <c r="D20" s="180" t="s">
        <v>209</v>
      </c>
      <c r="E20" s="180" t="s">
        <v>152</v>
      </c>
      <c r="F20" s="181" t="s">
        <v>182</v>
      </c>
      <c r="G20" s="180">
        <v>2019</v>
      </c>
      <c r="H20" s="181" t="s">
        <v>165</v>
      </c>
      <c r="I20" s="181" t="s">
        <v>68</v>
      </c>
      <c r="J20" s="181" t="s">
        <v>210</v>
      </c>
      <c r="K20" s="181" t="s">
        <v>162</v>
      </c>
      <c r="L20" s="180" t="s">
        <v>67</v>
      </c>
      <c r="M20" s="182" t="s">
        <v>148</v>
      </c>
      <c r="N20" s="182" t="s">
        <v>149</v>
      </c>
      <c r="O20" s="8" t="str">
        <f t="shared" si="0"/>
        <v>UTIM</v>
      </c>
      <c r="P20" s="8">
        <f t="shared" si="1"/>
        <v>7</v>
      </c>
      <c r="Q20" s="8">
        <f t="shared" si="2"/>
        <v>8</v>
      </c>
      <c r="R20" s="8">
        <f t="shared" si="3"/>
        <v>2028</v>
      </c>
      <c r="S20" s="8">
        <f t="shared" si="4"/>
        <v>2028</v>
      </c>
    </row>
    <row r="21" spans="1:19" ht="15" customHeight="1" x14ac:dyDescent="0.35">
      <c r="A21" s="183" t="s">
        <v>117</v>
      </c>
      <c r="B21" s="183" t="s">
        <v>141</v>
      </c>
      <c r="C21" s="183" t="s">
        <v>211</v>
      </c>
      <c r="D21" s="183" t="s">
        <v>212</v>
      </c>
      <c r="E21" s="183" t="s">
        <v>152</v>
      </c>
      <c r="F21" s="184" t="s">
        <v>182</v>
      </c>
      <c r="G21" s="183">
        <v>2019</v>
      </c>
      <c r="H21" s="184" t="s">
        <v>165</v>
      </c>
      <c r="I21" s="184" t="s">
        <v>68</v>
      </c>
      <c r="J21" s="184" t="s">
        <v>213</v>
      </c>
      <c r="K21" s="184" t="s">
        <v>162</v>
      </c>
      <c r="L21" s="183" t="s">
        <v>67</v>
      </c>
      <c r="M21" s="185" t="s">
        <v>148</v>
      </c>
      <c r="N21" s="185" t="s">
        <v>149</v>
      </c>
      <c r="O21" s="7" t="str">
        <f t="shared" si="0"/>
        <v>UTIM</v>
      </c>
      <c r="P21" s="7">
        <f t="shared" si="1"/>
        <v>7</v>
      </c>
      <c r="Q21" s="7">
        <f t="shared" si="2"/>
        <v>8</v>
      </c>
      <c r="R21" s="7">
        <f t="shared" si="3"/>
        <v>2028</v>
      </c>
      <c r="S21" s="7">
        <f t="shared" si="4"/>
        <v>2028</v>
      </c>
    </row>
    <row r="22" spans="1:19" ht="15" customHeight="1" x14ac:dyDescent="0.35">
      <c r="A22" s="180" t="s">
        <v>117</v>
      </c>
      <c r="B22" s="180" t="s">
        <v>141</v>
      </c>
      <c r="C22" s="180" t="s">
        <v>214</v>
      </c>
      <c r="D22" s="180" t="s">
        <v>215</v>
      </c>
      <c r="E22" s="180" t="s">
        <v>152</v>
      </c>
      <c r="F22" s="181" t="s">
        <v>182</v>
      </c>
      <c r="G22" s="180">
        <v>2019</v>
      </c>
      <c r="H22" s="181" t="s">
        <v>165</v>
      </c>
      <c r="I22" s="181" t="s">
        <v>68</v>
      </c>
      <c r="J22" s="181" t="s">
        <v>216</v>
      </c>
      <c r="K22" s="181" t="s">
        <v>162</v>
      </c>
      <c r="L22" s="180" t="s">
        <v>67</v>
      </c>
      <c r="M22" s="182" t="s">
        <v>148</v>
      </c>
      <c r="N22" s="182" t="s">
        <v>149</v>
      </c>
      <c r="O22" s="8" t="str">
        <f t="shared" si="0"/>
        <v>UTIM</v>
      </c>
      <c r="P22" s="8">
        <f t="shared" si="1"/>
        <v>7</v>
      </c>
      <c r="Q22" s="8">
        <f t="shared" si="2"/>
        <v>8</v>
      </c>
      <c r="R22" s="8">
        <f t="shared" si="3"/>
        <v>2028</v>
      </c>
      <c r="S22" s="8">
        <f t="shared" si="4"/>
        <v>2028</v>
      </c>
    </row>
    <row r="23" spans="1:19" ht="15" customHeight="1" x14ac:dyDescent="0.35">
      <c r="A23" s="180" t="s">
        <v>117</v>
      </c>
      <c r="B23" s="180" t="s">
        <v>141</v>
      </c>
      <c r="C23" s="180" t="s">
        <v>217</v>
      </c>
      <c r="D23" s="180" t="s">
        <v>218</v>
      </c>
      <c r="E23" s="180" t="s">
        <v>152</v>
      </c>
      <c r="F23" s="181" t="s">
        <v>182</v>
      </c>
      <c r="G23" s="180">
        <v>2019</v>
      </c>
      <c r="H23" s="181" t="s">
        <v>165</v>
      </c>
      <c r="I23" s="181" t="s">
        <v>68</v>
      </c>
      <c r="J23" s="181" t="s">
        <v>219</v>
      </c>
      <c r="K23" s="181" t="s">
        <v>162</v>
      </c>
      <c r="L23" s="180" t="s">
        <v>67</v>
      </c>
      <c r="M23" s="182" t="s">
        <v>148</v>
      </c>
      <c r="N23" s="182" t="s">
        <v>149</v>
      </c>
      <c r="O23" s="7" t="str">
        <f t="shared" si="0"/>
        <v>UTIM</v>
      </c>
      <c r="P23" s="7">
        <f t="shared" si="1"/>
        <v>7</v>
      </c>
      <c r="Q23" s="7">
        <f t="shared" si="2"/>
        <v>8</v>
      </c>
      <c r="R23" s="7">
        <f t="shared" si="3"/>
        <v>2028</v>
      </c>
      <c r="S23" s="7">
        <f t="shared" si="4"/>
        <v>2028</v>
      </c>
    </row>
    <row r="24" spans="1:19" ht="15" customHeight="1" x14ac:dyDescent="0.35">
      <c r="A24" s="180" t="s">
        <v>117</v>
      </c>
      <c r="B24" s="180" t="s">
        <v>141</v>
      </c>
      <c r="C24" s="180" t="s">
        <v>220</v>
      </c>
      <c r="D24" s="180" t="s">
        <v>221</v>
      </c>
      <c r="E24" s="180" t="s">
        <v>152</v>
      </c>
      <c r="F24" s="181" t="s">
        <v>182</v>
      </c>
      <c r="G24" s="180">
        <v>2019</v>
      </c>
      <c r="H24" s="181" t="s">
        <v>165</v>
      </c>
      <c r="I24" s="181" t="s">
        <v>68</v>
      </c>
      <c r="J24" s="181" t="s">
        <v>222</v>
      </c>
      <c r="K24" s="181" t="s">
        <v>162</v>
      </c>
      <c r="L24" s="180" t="s">
        <v>67</v>
      </c>
      <c r="M24" s="182" t="s">
        <v>148</v>
      </c>
      <c r="N24" s="182" t="s">
        <v>149</v>
      </c>
      <c r="O24" s="8" t="str">
        <f t="shared" si="0"/>
        <v>UTIM</v>
      </c>
      <c r="P24" s="8">
        <f t="shared" si="1"/>
        <v>7</v>
      </c>
      <c r="Q24" s="8">
        <f t="shared" si="2"/>
        <v>8</v>
      </c>
      <c r="R24" s="8">
        <f t="shared" si="3"/>
        <v>2028</v>
      </c>
      <c r="S24" s="8">
        <f t="shared" si="4"/>
        <v>2028</v>
      </c>
    </row>
    <row r="25" spans="1:19" ht="15" customHeight="1" x14ac:dyDescent="0.35">
      <c r="A25" s="180" t="s">
        <v>117</v>
      </c>
      <c r="B25" s="180" t="s">
        <v>141</v>
      </c>
      <c r="C25" s="180" t="s">
        <v>223</v>
      </c>
      <c r="D25" s="180" t="s">
        <v>224</v>
      </c>
      <c r="E25" s="180" t="s">
        <v>152</v>
      </c>
      <c r="F25" s="181" t="s">
        <v>182</v>
      </c>
      <c r="G25" s="180">
        <v>2019</v>
      </c>
      <c r="H25" s="181" t="s">
        <v>165</v>
      </c>
      <c r="I25" s="181" t="s">
        <v>68</v>
      </c>
      <c r="J25" s="181" t="s">
        <v>225</v>
      </c>
      <c r="K25" s="181" t="s">
        <v>162</v>
      </c>
      <c r="L25" s="180" t="s">
        <v>67</v>
      </c>
      <c r="M25" s="182" t="s">
        <v>148</v>
      </c>
      <c r="N25" s="182" t="s">
        <v>149</v>
      </c>
      <c r="O25" s="7" t="str">
        <f t="shared" si="0"/>
        <v>UTIM</v>
      </c>
      <c r="P25" s="7">
        <f t="shared" si="1"/>
        <v>7</v>
      </c>
      <c r="Q25" s="7">
        <f t="shared" si="2"/>
        <v>8</v>
      </c>
      <c r="R25" s="7">
        <f t="shared" si="3"/>
        <v>2028</v>
      </c>
      <c r="S25" s="7">
        <f t="shared" si="4"/>
        <v>2028</v>
      </c>
    </row>
    <row r="26" spans="1:19" ht="15" customHeight="1" x14ac:dyDescent="0.35">
      <c r="A26" s="183" t="s">
        <v>117</v>
      </c>
      <c r="B26" s="183" t="s">
        <v>156</v>
      </c>
      <c r="C26" s="183" t="s">
        <v>226</v>
      </c>
      <c r="D26" s="183" t="s">
        <v>227</v>
      </c>
      <c r="E26" s="183" t="s">
        <v>152</v>
      </c>
      <c r="F26" s="184" t="s">
        <v>182</v>
      </c>
      <c r="G26" s="183">
        <v>2019</v>
      </c>
      <c r="H26" s="184" t="s">
        <v>165</v>
      </c>
      <c r="I26" s="184" t="s">
        <v>712</v>
      </c>
      <c r="J26" s="184" t="s">
        <v>161</v>
      </c>
      <c r="K26" s="184" t="s">
        <v>162</v>
      </c>
      <c r="L26" s="183" t="s">
        <v>67</v>
      </c>
      <c r="M26" s="185" t="s">
        <v>148</v>
      </c>
      <c r="N26" s="185" t="s">
        <v>149</v>
      </c>
      <c r="O26" s="8" t="str">
        <f t="shared" si="0"/>
        <v>UTIM</v>
      </c>
      <c r="P26" s="8">
        <f t="shared" si="1"/>
        <v>7</v>
      </c>
      <c r="Q26" s="8">
        <f t="shared" si="2"/>
        <v>10</v>
      </c>
      <c r="R26" s="8">
        <f t="shared" si="3"/>
        <v>2030</v>
      </c>
      <c r="S26" s="8">
        <f t="shared" si="4"/>
        <v>2030</v>
      </c>
    </row>
    <row r="27" spans="1:19" ht="15" customHeight="1" x14ac:dyDescent="0.35">
      <c r="A27" s="186" t="s">
        <v>117</v>
      </c>
      <c r="B27" s="186" t="s">
        <v>141</v>
      </c>
      <c r="C27" s="186" t="s">
        <v>228</v>
      </c>
      <c r="D27" s="186" t="s">
        <v>229</v>
      </c>
      <c r="E27" s="186" t="s">
        <v>152</v>
      </c>
      <c r="F27" s="187" t="s">
        <v>182</v>
      </c>
      <c r="G27" s="186">
        <v>2019</v>
      </c>
      <c r="H27" s="187" t="s">
        <v>165</v>
      </c>
      <c r="I27" s="187" t="s">
        <v>68</v>
      </c>
      <c r="J27" s="187" t="s">
        <v>230</v>
      </c>
      <c r="K27" s="187" t="s">
        <v>250</v>
      </c>
      <c r="L27" s="186" t="s">
        <v>67</v>
      </c>
      <c r="M27" s="188" t="s">
        <v>148</v>
      </c>
      <c r="N27" s="188" t="s">
        <v>149</v>
      </c>
      <c r="O27" s="7" t="str">
        <f t="shared" si="0"/>
        <v>UTIM</v>
      </c>
      <c r="P27" s="7">
        <f t="shared" si="1"/>
        <v>7</v>
      </c>
      <c r="Q27" s="7">
        <f t="shared" si="2"/>
        <v>8</v>
      </c>
      <c r="R27" s="7">
        <f t="shared" si="3"/>
        <v>2028</v>
      </c>
      <c r="S27" s="7">
        <f t="shared" si="4"/>
        <v>2028</v>
      </c>
    </row>
    <row r="28" spans="1:19" ht="15" customHeight="1" x14ac:dyDescent="0.35">
      <c r="A28" s="180" t="s">
        <v>117</v>
      </c>
      <c r="B28" s="180" t="s">
        <v>141</v>
      </c>
      <c r="C28" s="180" t="s">
        <v>231</v>
      </c>
      <c r="D28" s="180" t="s">
        <v>232</v>
      </c>
      <c r="E28" s="180" t="s">
        <v>152</v>
      </c>
      <c r="F28" s="181" t="s">
        <v>182</v>
      </c>
      <c r="G28" s="180">
        <v>2019</v>
      </c>
      <c r="H28" s="181" t="s">
        <v>146</v>
      </c>
      <c r="I28" s="181" t="s">
        <v>68</v>
      </c>
      <c r="J28" s="181" t="s">
        <v>233</v>
      </c>
      <c r="K28" s="181" t="s">
        <v>162</v>
      </c>
      <c r="L28" s="180" t="s">
        <v>147</v>
      </c>
      <c r="M28" s="182" t="s">
        <v>148</v>
      </c>
      <c r="N28" s="182" t="s">
        <v>149</v>
      </c>
      <c r="O28" s="8" t="str">
        <f t="shared" si="0"/>
        <v>UTIM</v>
      </c>
      <c r="P28" s="8">
        <f t="shared" si="1"/>
        <v>7</v>
      </c>
      <c r="Q28" s="8">
        <f t="shared" si="2"/>
        <v>8</v>
      </c>
      <c r="R28" s="8">
        <f t="shared" si="3"/>
        <v>2028</v>
      </c>
      <c r="S28" s="8">
        <f t="shared" si="4"/>
        <v>2028</v>
      </c>
    </row>
    <row r="29" spans="1:19" ht="15" customHeight="1" x14ac:dyDescent="0.35">
      <c r="A29" s="183" t="s">
        <v>117</v>
      </c>
      <c r="B29" s="183" t="s">
        <v>141</v>
      </c>
      <c r="C29" s="183" t="s">
        <v>234</v>
      </c>
      <c r="D29" s="183" t="s">
        <v>235</v>
      </c>
      <c r="E29" s="183" t="s">
        <v>152</v>
      </c>
      <c r="F29" s="184" t="s">
        <v>182</v>
      </c>
      <c r="G29" s="183">
        <v>2019</v>
      </c>
      <c r="H29" s="184" t="s">
        <v>165</v>
      </c>
      <c r="I29" s="184" t="s">
        <v>68</v>
      </c>
      <c r="J29" s="184" t="s">
        <v>236</v>
      </c>
      <c r="K29" s="184" t="s">
        <v>250</v>
      </c>
      <c r="L29" s="183" t="s">
        <v>67</v>
      </c>
      <c r="M29" s="185" t="s">
        <v>148</v>
      </c>
      <c r="N29" s="185" t="s">
        <v>149</v>
      </c>
      <c r="O29" s="7" t="str">
        <f t="shared" si="0"/>
        <v>UTIM</v>
      </c>
      <c r="P29" s="7">
        <f t="shared" si="1"/>
        <v>7</v>
      </c>
      <c r="Q29" s="7">
        <f t="shared" si="2"/>
        <v>8</v>
      </c>
      <c r="R29" s="7">
        <f t="shared" si="3"/>
        <v>2028</v>
      </c>
      <c r="S29" s="7">
        <f t="shared" si="4"/>
        <v>2028</v>
      </c>
    </row>
    <row r="30" spans="1:19" ht="15" customHeight="1" x14ac:dyDescent="0.35">
      <c r="A30" s="180" t="s">
        <v>117</v>
      </c>
      <c r="B30" s="180" t="s">
        <v>141</v>
      </c>
      <c r="C30" s="180" t="s">
        <v>237</v>
      </c>
      <c r="D30" s="180" t="s">
        <v>238</v>
      </c>
      <c r="E30" s="180" t="s">
        <v>152</v>
      </c>
      <c r="F30" s="181" t="s">
        <v>182</v>
      </c>
      <c r="G30" s="180">
        <v>2019</v>
      </c>
      <c r="H30" s="181" t="s">
        <v>239</v>
      </c>
      <c r="I30" s="181" t="s">
        <v>107</v>
      </c>
      <c r="J30" s="181" t="s">
        <v>186</v>
      </c>
      <c r="K30" s="181"/>
      <c r="L30" s="180" t="s">
        <v>67</v>
      </c>
      <c r="M30" s="182" t="s">
        <v>76</v>
      </c>
      <c r="N30" s="182" t="s">
        <v>76</v>
      </c>
      <c r="O30" s="8" t="str">
        <f t="shared" si="0"/>
        <v>UTIM</v>
      </c>
      <c r="P30" s="8">
        <f t="shared" si="1"/>
        <v>7</v>
      </c>
      <c r="Q30" s="8">
        <f t="shared" si="2"/>
        <v>8</v>
      </c>
      <c r="R30" s="8">
        <f t="shared" si="3"/>
        <v>2028</v>
      </c>
      <c r="S30" s="8">
        <f t="shared" si="4"/>
        <v>2028</v>
      </c>
    </row>
    <row r="31" spans="1:19" ht="15" customHeight="1" x14ac:dyDescent="0.35">
      <c r="A31" s="180" t="s">
        <v>117</v>
      </c>
      <c r="B31" s="180" t="s">
        <v>141</v>
      </c>
      <c r="C31" s="180" t="s">
        <v>240</v>
      </c>
      <c r="D31" s="180" t="s">
        <v>241</v>
      </c>
      <c r="E31" s="180" t="s">
        <v>152</v>
      </c>
      <c r="F31" s="181" t="s">
        <v>182</v>
      </c>
      <c r="G31" s="180">
        <v>2019</v>
      </c>
      <c r="H31" s="181" t="s">
        <v>165</v>
      </c>
      <c r="I31" s="181" t="s">
        <v>68</v>
      </c>
      <c r="J31" s="181" t="s">
        <v>242</v>
      </c>
      <c r="K31" s="181" t="s">
        <v>250</v>
      </c>
      <c r="L31" s="180" t="s">
        <v>67</v>
      </c>
      <c r="M31" s="182" t="s">
        <v>148</v>
      </c>
      <c r="N31" s="182" t="s">
        <v>149</v>
      </c>
      <c r="O31" s="7" t="str">
        <f t="shared" si="0"/>
        <v>UTIM</v>
      </c>
      <c r="P31" s="7">
        <f t="shared" si="1"/>
        <v>7</v>
      </c>
      <c r="Q31" s="7">
        <f t="shared" si="2"/>
        <v>8</v>
      </c>
      <c r="R31" s="7">
        <f t="shared" si="3"/>
        <v>2028</v>
      </c>
      <c r="S31" s="7">
        <f t="shared" si="4"/>
        <v>2028</v>
      </c>
    </row>
    <row r="32" spans="1:19" ht="15" customHeight="1" x14ac:dyDescent="0.35">
      <c r="A32" s="180" t="s">
        <v>117</v>
      </c>
      <c r="B32" s="180" t="s">
        <v>141</v>
      </c>
      <c r="C32" s="180" t="s">
        <v>243</v>
      </c>
      <c r="D32" s="180" t="s">
        <v>244</v>
      </c>
      <c r="E32" s="180" t="s">
        <v>152</v>
      </c>
      <c r="F32" s="181" t="s">
        <v>245</v>
      </c>
      <c r="G32" s="180">
        <v>2023</v>
      </c>
      <c r="H32" s="181" t="s">
        <v>165</v>
      </c>
      <c r="I32" s="181" t="s">
        <v>68</v>
      </c>
      <c r="J32" s="181" t="s">
        <v>246</v>
      </c>
      <c r="K32" s="181" t="s">
        <v>162</v>
      </c>
      <c r="L32" s="180" t="s">
        <v>67</v>
      </c>
      <c r="M32" s="182" t="s">
        <v>148</v>
      </c>
      <c r="N32" s="182" t="s">
        <v>149</v>
      </c>
      <c r="O32" s="8" t="str">
        <f t="shared" si="0"/>
        <v>UTIM</v>
      </c>
      <c r="P32" s="8">
        <f t="shared" si="1"/>
        <v>3</v>
      </c>
      <c r="Q32" s="8">
        <f t="shared" si="2"/>
        <v>8</v>
      </c>
      <c r="R32" s="8">
        <f t="shared" si="3"/>
        <v>2032</v>
      </c>
      <c r="S32" s="8">
        <f t="shared" si="4"/>
        <v>2032</v>
      </c>
    </row>
    <row r="33" spans="1:21" ht="15" customHeight="1" x14ac:dyDescent="0.35">
      <c r="A33" s="186" t="s">
        <v>117</v>
      </c>
      <c r="B33" s="186" t="s">
        <v>141</v>
      </c>
      <c r="C33" s="186" t="s">
        <v>247</v>
      </c>
      <c r="D33" s="186" t="s">
        <v>248</v>
      </c>
      <c r="E33" s="186" t="s">
        <v>152</v>
      </c>
      <c r="F33" s="187" t="s">
        <v>153</v>
      </c>
      <c r="G33" s="186">
        <v>2023</v>
      </c>
      <c r="H33" s="187" t="s">
        <v>239</v>
      </c>
      <c r="I33" s="187" t="s">
        <v>107</v>
      </c>
      <c r="J33" s="187"/>
      <c r="K33" s="187"/>
      <c r="L33" s="186" t="s">
        <v>67</v>
      </c>
      <c r="M33" s="188" t="s">
        <v>76</v>
      </c>
      <c r="N33" s="188" t="s">
        <v>76</v>
      </c>
      <c r="O33" s="7" t="str">
        <f t="shared" si="0"/>
        <v>UTIM</v>
      </c>
      <c r="P33" s="7">
        <f t="shared" si="1"/>
        <v>3</v>
      </c>
      <c r="Q33" s="7">
        <f t="shared" si="2"/>
        <v>8</v>
      </c>
      <c r="R33" s="7">
        <f t="shared" si="3"/>
        <v>2032</v>
      </c>
      <c r="S33" s="7">
        <f t="shared" si="4"/>
        <v>2032</v>
      </c>
    </row>
    <row r="34" spans="1:21" ht="15" customHeight="1" x14ac:dyDescent="0.35">
      <c r="A34" s="180" t="s">
        <v>117</v>
      </c>
      <c r="B34" s="180" t="s">
        <v>141</v>
      </c>
      <c r="C34" s="180" t="s">
        <v>251</v>
      </c>
      <c r="D34" s="180" t="s">
        <v>252</v>
      </c>
      <c r="E34" s="180" t="s">
        <v>152</v>
      </c>
      <c r="F34" s="181" t="s">
        <v>153</v>
      </c>
      <c r="G34" s="180">
        <v>2023</v>
      </c>
      <c r="H34" s="181" t="s">
        <v>239</v>
      </c>
      <c r="I34" s="181" t="s">
        <v>68</v>
      </c>
      <c r="J34" s="181" t="s">
        <v>253</v>
      </c>
      <c r="K34" s="181" t="s">
        <v>162</v>
      </c>
      <c r="L34" s="180" t="s">
        <v>67</v>
      </c>
      <c r="M34" s="182" t="s">
        <v>148</v>
      </c>
      <c r="N34" s="182" t="s">
        <v>149</v>
      </c>
      <c r="O34" s="8" t="str">
        <f t="shared" si="0"/>
        <v>UTIM</v>
      </c>
      <c r="P34" s="8">
        <f t="shared" si="1"/>
        <v>3</v>
      </c>
      <c r="Q34" s="8">
        <f t="shared" si="2"/>
        <v>8</v>
      </c>
      <c r="R34" s="8">
        <f t="shared" si="3"/>
        <v>2032</v>
      </c>
      <c r="S34" s="8">
        <f t="shared" si="4"/>
        <v>2032</v>
      </c>
    </row>
    <row r="35" spans="1:21" ht="15" customHeight="1" x14ac:dyDescent="0.35">
      <c r="A35" s="180" t="s">
        <v>117</v>
      </c>
      <c r="B35" s="180" t="s">
        <v>141</v>
      </c>
      <c r="C35" s="180" t="s">
        <v>254</v>
      </c>
      <c r="D35" s="180" t="s">
        <v>255</v>
      </c>
      <c r="E35" s="180" t="s">
        <v>152</v>
      </c>
      <c r="F35" s="181" t="s">
        <v>245</v>
      </c>
      <c r="G35" s="180">
        <v>2023</v>
      </c>
      <c r="H35" s="181" t="s">
        <v>165</v>
      </c>
      <c r="I35" s="181" t="s">
        <v>68</v>
      </c>
      <c r="J35" s="181" t="s">
        <v>256</v>
      </c>
      <c r="K35" s="181" t="s">
        <v>162</v>
      </c>
      <c r="L35" s="180" t="s">
        <v>67</v>
      </c>
      <c r="M35" s="182" t="s">
        <v>148</v>
      </c>
      <c r="N35" s="182" t="s">
        <v>149</v>
      </c>
      <c r="O35" s="7" t="str">
        <f t="shared" ref="O35:O66" si="5">IF(ISNUMBER(SEARCH("UTIM",A35)),"UTIM","Logística")</f>
        <v>UTIM</v>
      </c>
      <c r="P35" s="7">
        <f t="shared" ref="P35:P66" si="6">2026-G35</f>
        <v>3</v>
      </c>
      <c r="Q35" s="7">
        <f t="shared" ref="Q35:Q66" si="7">IF(I35="UCI","",IF(I35="VISTA OIL",5,IF(B35="Petróleo",8,IF(B35="Minería",3,10))))</f>
        <v>8</v>
      </c>
      <c r="R35" s="7">
        <f t="shared" ref="R35:R66" si="8">IF(Q35="","",G35+Q35+1)</f>
        <v>2032</v>
      </c>
      <c r="S35" s="7">
        <f t="shared" ref="S35:S66" si="9">IF(Q35="","",IF(AND(B35="Minería",P35&lt;=8),G35+8+1,R35))</f>
        <v>2032</v>
      </c>
    </row>
    <row r="36" spans="1:21" ht="15" customHeight="1" x14ac:dyDescent="0.35">
      <c r="A36" s="180" t="s">
        <v>117</v>
      </c>
      <c r="B36" s="180" t="s">
        <v>141</v>
      </c>
      <c r="C36" s="180" t="s">
        <v>257</v>
      </c>
      <c r="D36" s="180" t="s">
        <v>258</v>
      </c>
      <c r="E36" s="180" t="s">
        <v>152</v>
      </c>
      <c r="F36" s="181" t="s">
        <v>245</v>
      </c>
      <c r="G36" s="180">
        <v>2023</v>
      </c>
      <c r="H36" s="181" t="s">
        <v>165</v>
      </c>
      <c r="I36" s="181" t="s">
        <v>68</v>
      </c>
      <c r="J36" s="181" t="s">
        <v>259</v>
      </c>
      <c r="K36" s="181" t="s">
        <v>162</v>
      </c>
      <c r="L36" s="180" t="s">
        <v>67</v>
      </c>
      <c r="M36" s="182" t="s">
        <v>148</v>
      </c>
      <c r="N36" s="182" t="s">
        <v>149</v>
      </c>
      <c r="O36" s="8" t="str">
        <f t="shared" si="5"/>
        <v>UTIM</v>
      </c>
      <c r="P36" s="8">
        <f t="shared" si="6"/>
        <v>3</v>
      </c>
      <c r="Q36" s="8">
        <f t="shared" si="7"/>
        <v>8</v>
      </c>
      <c r="R36" s="8">
        <f t="shared" si="8"/>
        <v>2032</v>
      </c>
      <c r="S36" s="8">
        <f t="shared" si="9"/>
        <v>2032</v>
      </c>
    </row>
    <row r="37" spans="1:21" ht="15" customHeight="1" x14ac:dyDescent="0.35">
      <c r="A37" s="180" t="s">
        <v>117</v>
      </c>
      <c r="B37" s="180" t="s">
        <v>141</v>
      </c>
      <c r="C37" s="180" t="s">
        <v>260</v>
      </c>
      <c r="D37" s="180" t="s">
        <v>261</v>
      </c>
      <c r="E37" s="180" t="s">
        <v>152</v>
      </c>
      <c r="F37" s="181" t="s">
        <v>245</v>
      </c>
      <c r="G37" s="180">
        <v>2023</v>
      </c>
      <c r="H37" s="181" t="s">
        <v>165</v>
      </c>
      <c r="I37" s="181" t="s">
        <v>68</v>
      </c>
      <c r="J37" s="181" t="s">
        <v>262</v>
      </c>
      <c r="K37" s="181" t="s">
        <v>162</v>
      </c>
      <c r="L37" s="180" t="s">
        <v>67</v>
      </c>
      <c r="M37" s="182" t="s">
        <v>148</v>
      </c>
      <c r="N37" s="182" t="s">
        <v>149</v>
      </c>
      <c r="O37" s="7" t="str">
        <f t="shared" si="5"/>
        <v>UTIM</v>
      </c>
      <c r="P37" s="7">
        <f t="shared" si="6"/>
        <v>3</v>
      </c>
      <c r="Q37" s="7">
        <f t="shared" si="7"/>
        <v>8</v>
      </c>
      <c r="R37" s="7">
        <f t="shared" si="8"/>
        <v>2032</v>
      </c>
      <c r="S37" s="7">
        <f t="shared" si="9"/>
        <v>2032</v>
      </c>
    </row>
    <row r="38" spans="1:21" ht="15" customHeight="1" x14ac:dyDescent="0.35">
      <c r="A38" s="180" t="s">
        <v>117</v>
      </c>
      <c r="B38" s="180" t="s">
        <v>141</v>
      </c>
      <c r="C38" s="180" t="s">
        <v>263</v>
      </c>
      <c r="D38" s="180" t="s">
        <v>264</v>
      </c>
      <c r="E38" s="180" t="s">
        <v>152</v>
      </c>
      <c r="F38" s="181" t="s">
        <v>245</v>
      </c>
      <c r="G38" s="180">
        <v>2023</v>
      </c>
      <c r="H38" s="181" t="s">
        <v>165</v>
      </c>
      <c r="I38" s="181" t="s">
        <v>68</v>
      </c>
      <c r="J38" s="181" t="s">
        <v>265</v>
      </c>
      <c r="K38" s="181" t="s">
        <v>162</v>
      </c>
      <c r="L38" s="180" t="s">
        <v>67</v>
      </c>
      <c r="M38" s="182" t="s">
        <v>148</v>
      </c>
      <c r="N38" s="182" t="s">
        <v>149</v>
      </c>
      <c r="O38" s="8" t="str">
        <f t="shared" si="5"/>
        <v>UTIM</v>
      </c>
      <c r="P38" s="8">
        <f t="shared" si="6"/>
        <v>3</v>
      </c>
      <c r="Q38" s="8">
        <f t="shared" si="7"/>
        <v>8</v>
      </c>
      <c r="R38" s="8">
        <f t="shared" si="8"/>
        <v>2032</v>
      </c>
      <c r="S38" s="8">
        <f t="shared" si="9"/>
        <v>2032</v>
      </c>
    </row>
    <row r="39" spans="1:21" ht="15" customHeight="1" x14ac:dyDescent="0.35">
      <c r="A39" s="180" t="s">
        <v>117</v>
      </c>
      <c r="B39" s="180" t="s">
        <v>141</v>
      </c>
      <c r="C39" s="180" t="s">
        <v>266</v>
      </c>
      <c r="D39" s="180" t="s">
        <v>267</v>
      </c>
      <c r="E39" s="180" t="s">
        <v>152</v>
      </c>
      <c r="F39" s="181" t="s">
        <v>268</v>
      </c>
      <c r="G39" s="180">
        <v>2023</v>
      </c>
      <c r="H39" s="181" t="s">
        <v>165</v>
      </c>
      <c r="I39" s="181" t="s">
        <v>68</v>
      </c>
      <c r="J39" s="181" t="s">
        <v>269</v>
      </c>
      <c r="K39" s="181" t="s">
        <v>162</v>
      </c>
      <c r="L39" s="180" t="s">
        <v>67</v>
      </c>
      <c r="M39" s="182" t="s">
        <v>148</v>
      </c>
      <c r="N39" s="182" t="s">
        <v>149</v>
      </c>
      <c r="O39" s="7" t="str">
        <f t="shared" si="5"/>
        <v>UTIM</v>
      </c>
      <c r="P39" s="7">
        <f t="shared" si="6"/>
        <v>3</v>
      </c>
      <c r="Q39" s="7">
        <f t="shared" si="7"/>
        <v>8</v>
      </c>
      <c r="R39" s="7">
        <f t="shared" si="8"/>
        <v>2032</v>
      </c>
      <c r="S39" s="7">
        <f t="shared" si="9"/>
        <v>2032</v>
      </c>
    </row>
    <row r="40" spans="1:21" ht="15" customHeight="1" x14ac:dyDescent="0.35">
      <c r="A40" s="180" t="s">
        <v>117</v>
      </c>
      <c r="B40" s="180" t="s">
        <v>141</v>
      </c>
      <c r="C40" s="180" t="s">
        <v>270</v>
      </c>
      <c r="D40" s="180" t="s">
        <v>271</v>
      </c>
      <c r="E40" s="180" t="s">
        <v>152</v>
      </c>
      <c r="F40" s="181" t="s">
        <v>272</v>
      </c>
      <c r="G40" s="180">
        <v>2023</v>
      </c>
      <c r="H40" s="181" t="s">
        <v>165</v>
      </c>
      <c r="I40" s="181" t="s">
        <v>68</v>
      </c>
      <c r="J40" s="181" t="s">
        <v>273</v>
      </c>
      <c r="K40" s="181" t="s">
        <v>162</v>
      </c>
      <c r="L40" s="180" t="s">
        <v>67</v>
      </c>
      <c r="M40" s="182" t="s">
        <v>148</v>
      </c>
      <c r="N40" s="182" t="s">
        <v>149</v>
      </c>
      <c r="O40" s="8" t="str">
        <f t="shared" si="5"/>
        <v>UTIM</v>
      </c>
      <c r="P40" s="8">
        <f t="shared" si="6"/>
        <v>3</v>
      </c>
      <c r="Q40" s="8">
        <f t="shared" si="7"/>
        <v>8</v>
      </c>
      <c r="R40" s="8">
        <f t="shared" si="8"/>
        <v>2032</v>
      </c>
      <c r="S40" s="8">
        <f t="shared" si="9"/>
        <v>2032</v>
      </c>
    </row>
    <row r="41" spans="1:21" ht="15" customHeight="1" x14ac:dyDescent="0.35">
      <c r="A41" s="180" t="s">
        <v>117</v>
      </c>
      <c r="B41" s="180" t="s">
        <v>141</v>
      </c>
      <c r="C41" s="180" t="s">
        <v>274</v>
      </c>
      <c r="D41" s="180" t="s">
        <v>275</v>
      </c>
      <c r="E41" s="180" t="s">
        <v>152</v>
      </c>
      <c r="F41" s="181" t="s">
        <v>272</v>
      </c>
      <c r="G41" s="180">
        <v>2023</v>
      </c>
      <c r="H41" s="181" t="s">
        <v>165</v>
      </c>
      <c r="I41" s="181" t="s">
        <v>546</v>
      </c>
      <c r="J41" s="181" t="s">
        <v>276</v>
      </c>
      <c r="K41" s="181"/>
      <c r="L41" s="180" t="s">
        <v>67</v>
      </c>
      <c r="M41" s="182" t="s">
        <v>148</v>
      </c>
      <c r="N41" s="182" t="s">
        <v>149</v>
      </c>
      <c r="O41" s="7" t="str">
        <f t="shared" si="5"/>
        <v>UTIM</v>
      </c>
      <c r="P41" s="7">
        <f t="shared" si="6"/>
        <v>3</v>
      </c>
      <c r="Q41" s="7">
        <f t="shared" si="7"/>
        <v>8</v>
      </c>
      <c r="R41" s="7">
        <f t="shared" si="8"/>
        <v>2032</v>
      </c>
      <c r="S41" s="7">
        <f t="shared" si="9"/>
        <v>2032</v>
      </c>
    </row>
    <row r="42" spans="1:21" ht="15" customHeight="1" x14ac:dyDescent="0.35">
      <c r="A42" s="186" t="s">
        <v>117</v>
      </c>
      <c r="B42" s="186" t="s">
        <v>277</v>
      </c>
      <c r="C42" s="186" t="s">
        <v>278</v>
      </c>
      <c r="D42" s="186" t="s">
        <v>279</v>
      </c>
      <c r="E42" s="186" t="s">
        <v>152</v>
      </c>
      <c r="F42" s="187" t="s">
        <v>268</v>
      </c>
      <c r="G42" s="186">
        <v>2023</v>
      </c>
      <c r="H42" s="187" t="s">
        <v>239</v>
      </c>
      <c r="I42" s="187" t="s">
        <v>107</v>
      </c>
      <c r="J42" s="187" t="s">
        <v>280</v>
      </c>
      <c r="K42" s="187"/>
      <c r="L42" s="186" t="s">
        <v>67</v>
      </c>
      <c r="M42" s="188" t="s">
        <v>76</v>
      </c>
      <c r="N42" s="188" t="s">
        <v>76</v>
      </c>
      <c r="O42" s="8" t="str">
        <f t="shared" si="5"/>
        <v>UTIM</v>
      </c>
      <c r="P42" s="8">
        <f t="shared" si="6"/>
        <v>3</v>
      </c>
      <c r="Q42" s="8">
        <f t="shared" si="7"/>
        <v>10</v>
      </c>
      <c r="R42" s="8">
        <f t="shared" si="8"/>
        <v>2034</v>
      </c>
      <c r="S42" s="8">
        <f t="shared" si="9"/>
        <v>2034</v>
      </c>
    </row>
    <row r="43" spans="1:21" ht="15" customHeight="1" x14ac:dyDescent="0.35">
      <c r="A43" s="186" t="s">
        <v>117</v>
      </c>
      <c r="B43" s="186" t="s">
        <v>141</v>
      </c>
      <c r="C43" s="186" t="s">
        <v>281</v>
      </c>
      <c r="D43" s="186" t="s">
        <v>282</v>
      </c>
      <c r="E43" s="186" t="s">
        <v>152</v>
      </c>
      <c r="F43" s="187" t="s">
        <v>268</v>
      </c>
      <c r="G43" s="186">
        <v>2024</v>
      </c>
      <c r="H43" s="187" t="s">
        <v>239</v>
      </c>
      <c r="I43" s="187" t="s">
        <v>68</v>
      </c>
      <c r="J43" s="187" t="s">
        <v>249</v>
      </c>
      <c r="K43" s="187" t="s">
        <v>250</v>
      </c>
      <c r="L43" s="186" t="s">
        <v>67</v>
      </c>
      <c r="M43" s="188" t="s">
        <v>148</v>
      </c>
      <c r="N43" s="188" t="s">
        <v>149</v>
      </c>
      <c r="O43" s="7" t="str">
        <f t="shared" si="5"/>
        <v>UTIM</v>
      </c>
      <c r="P43" s="7">
        <f t="shared" si="6"/>
        <v>2</v>
      </c>
      <c r="Q43" s="7">
        <f t="shared" si="7"/>
        <v>8</v>
      </c>
      <c r="R43" s="7">
        <f t="shared" si="8"/>
        <v>2033</v>
      </c>
      <c r="S43" s="7">
        <f t="shared" si="9"/>
        <v>2033</v>
      </c>
    </row>
    <row r="44" spans="1:21" ht="15" customHeight="1" x14ac:dyDescent="0.35">
      <c r="A44" s="186" t="s">
        <v>118</v>
      </c>
      <c r="B44" s="186" t="s">
        <v>277</v>
      </c>
      <c r="C44" s="186" t="s">
        <v>283</v>
      </c>
      <c r="D44" s="186" t="s">
        <v>284</v>
      </c>
      <c r="E44" s="186" t="s">
        <v>152</v>
      </c>
      <c r="F44" s="187" t="s">
        <v>268</v>
      </c>
      <c r="G44" s="186">
        <v>2024</v>
      </c>
      <c r="H44" s="187" t="s">
        <v>239</v>
      </c>
      <c r="I44" s="187" t="s">
        <v>107</v>
      </c>
      <c r="J44" s="187" t="s">
        <v>285</v>
      </c>
      <c r="K44" s="187"/>
      <c r="L44" s="186" t="s">
        <v>84</v>
      </c>
      <c r="M44" s="188" t="s">
        <v>76</v>
      </c>
      <c r="N44" s="188" t="s">
        <v>76</v>
      </c>
      <c r="O44" s="8" t="str">
        <f t="shared" si="5"/>
        <v>UTIM</v>
      </c>
      <c r="P44" s="8">
        <f t="shared" si="6"/>
        <v>2</v>
      </c>
      <c r="Q44" s="8">
        <f t="shared" si="7"/>
        <v>10</v>
      </c>
      <c r="R44" s="8">
        <f t="shared" si="8"/>
        <v>2035</v>
      </c>
      <c r="S44" s="8">
        <f t="shared" si="9"/>
        <v>2035</v>
      </c>
    </row>
    <row r="45" spans="1:21" ht="15" customHeight="1" x14ac:dyDescent="0.35">
      <c r="A45" s="180" t="s">
        <v>117</v>
      </c>
      <c r="B45" s="180" t="s">
        <v>141</v>
      </c>
      <c r="C45" s="180" t="s">
        <v>286</v>
      </c>
      <c r="D45" s="180" t="s">
        <v>287</v>
      </c>
      <c r="E45" s="180" t="s">
        <v>152</v>
      </c>
      <c r="F45" s="181" t="s">
        <v>268</v>
      </c>
      <c r="G45" s="180">
        <v>2024</v>
      </c>
      <c r="H45" s="181" t="s">
        <v>239</v>
      </c>
      <c r="I45" s="181" t="s">
        <v>192</v>
      </c>
      <c r="J45" s="181" t="s">
        <v>288</v>
      </c>
      <c r="K45" s="181"/>
      <c r="L45" s="180" t="s">
        <v>67</v>
      </c>
      <c r="M45" s="182" t="s">
        <v>148</v>
      </c>
      <c r="N45" s="182" t="s">
        <v>149</v>
      </c>
      <c r="O45" s="7" t="str">
        <f t="shared" si="5"/>
        <v>UTIM</v>
      </c>
      <c r="P45" s="7">
        <f t="shared" si="6"/>
        <v>2</v>
      </c>
      <c r="Q45" s="7">
        <f t="shared" si="7"/>
        <v>5</v>
      </c>
      <c r="R45" s="7">
        <f t="shared" si="8"/>
        <v>2030</v>
      </c>
      <c r="S45" s="7">
        <f t="shared" si="9"/>
        <v>2030</v>
      </c>
    </row>
    <row r="46" spans="1:21" ht="15" customHeight="1" x14ac:dyDescent="0.35">
      <c r="A46" s="180" t="s">
        <v>117</v>
      </c>
      <c r="B46" s="180" t="s">
        <v>141</v>
      </c>
      <c r="C46" s="180" t="s">
        <v>289</v>
      </c>
      <c r="D46" s="180" t="s">
        <v>290</v>
      </c>
      <c r="E46" s="180" t="s">
        <v>152</v>
      </c>
      <c r="F46" s="181" t="s">
        <v>268</v>
      </c>
      <c r="G46" s="180">
        <v>2024</v>
      </c>
      <c r="H46" s="181" t="s">
        <v>239</v>
      </c>
      <c r="I46" s="181" t="s">
        <v>68</v>
      </c>
      <c r="J46" s="181" t="s">
        <v>291</v>
      </c>
      <c r="K46" s="181" t="s">
        <v>250</v>
      </c>
      <c r="L46" s="180" t="s">
        <v>67</v>
      </c>
      <c r="M46" s="182" t="s">
        <v>148</v>
      </c>
      <c r="N46" s="182" t="s">
        <v>149</v>
      </c>
      <c r="O46" s="8" t="str">
        <f t="shared" si="5"/>
        <v>UTIM</v>
      </c>
      <c r="P46" s="8">
        <f t="shared" si="6"/>
        <v>2</v>
      </c>
      <c r="Q46" s="8">
        <f t="shared" si="7"/>
        <v>8</v>
      </c>
      <c r="R46" s="8">
        <f t="shared" si="8"/>
        <v>2033</v>
      </c>
      <c r="S46" s="8">
        <f t="shared" si="9"/>
        <v>2033</v>
      </c>
    </row>
    <row r="47" spans="1:21" ht="15" customHeight="1" x14ac:dyDescent="0.35">
      <c r="A47" s="180" t="s">
        <v>117</v>
      </c>
      <c r="B47" s="180" t="s">
        <v>141</v>
      </c>
      <c r="C47" s="180" t="s">
        <v>292</v>
      </c>
      <c r="D47" s="180" t="s">
        <v>293</v>
      </c>
      <c r="E47" s="180" t="s">
        <v>152</v>
      </c>
      <c r="F47" s="181" t="s">
        <v>268</v>
      </c>
      <c r="G47" s="180">
        <v>2024</v>
      </c>
      <c r="H47" s="181" t="s">
        <v>239</v>
      </c>
      <c r="I47" s="181" t="s">
        <v>192</v>
      </c>
      <c r="J47" s="181" t="s">
        <v>294</v>
      </c>
      <c r="K47" s="181"/>
      <c r="L47" s="180" t="s">
        <v>67</v>
      </c>
      <c r="M47" s="182" t="s">
        <v>148</v>
      </c>
      <c r="N47" s="182" t="s">
        <v>149</v>
      </c>
      <c r="O47" s="7" t="str">
        <f t="shared" si="5"/>
        <v>UTIM</v>
      </c>
      <c r="P47" s="7">
        <f t="shared" si="6"/>
        <v>2</v>
      </c>
      <c r="Q47" s="7">
        <f t="shared" si="7"/>
        <v>5</v>
      </c>
      <c r="R47" s="7">
        <f t="shared" si="8"/>
        <v>2030</v>
      </c>
      <c r="S47" s="7">
        <f t="shared" si="9"/>
        <v>2030</v>
      </c>
    </row>
    <row r="48" spans="1:21" ht="15" customHeight="1" x14ac:dyDescent="0.35">
      <c r="A48" s="186" t="s">
        <v>117</v>
      </c>
      <c r="B48" s="186" t="s">
        <v>141</v>
      </c>
      <c r="C48" s="186" t="s">
        <v>295</v>
      </c>
      <c r="D48" s="186" t="s">
        <v>296</v>
      </c>
      <c r="E48" s="186" t="s">
        <v>152</v>
      </c>
      <c r="F48" s="187" t="s">
        <v>268</v>
      </c>
      <c r="G48" s="186">
        <v>2024</v>
      </c>
      <c r="H48" s="187" t="s">
        <v>239</v>
      </c>
      <c r="I48" s="187" t="s">
        <v>68</v>
      </c>
      <c r="J48" s="187" t="s">
        <v>297</v>
      </c>
      <c r="K48" s="187" t="s">
        <v>162</v>
      </c>
      <c r="L48" s="186" t="s">
        <v>67</v>
      </c>
      <c r="M48" s="188" t="s">
        <v>148</v>
      </c>
      <c r="N48" s="188" t="s">
        <v>149</v>
      </c>
      <c r="O48" s="8" t="str">
        <f t="shared" si="5"/>
        <v>UTIM</v>
      </c>
      <c r="P48" s="8">
        <f t="shared" si="6"/>
        <v>2</v>
      </c>
      <c r="Q48" s="8">
        <f t="shared" si="7"/>
        <v>8</v>
      </c>
      <c r="R48" s="8">
        <f t="shared" si="8"/>
        <v>2033</v>
      </c>
      <c r="S48" s="8">
        <f t="shared" si="9"/>
        <v>2033</v>
      </c>
      <c r="T48" t="s">
        <v>718</v>
      </c>
      <c r="U48" t="s">
        <v>725</v>
      </c>
    </row>
    <row r="49" spans="1:19" ht="15" customHeight="1" x14ac:dyDescent="0.35">
      <c r="A49" s="180" t="s">
        <v>117</v>
      </c>
      <c r="B49" s="180" t="s">
        <v>141</v>
      </c>
      <c r="C49" s="180" t="s">
        <v>298</v>
      </c>
      <c r="D49" s="180" t="s">
        <v>299</v>
      </c>
      <c r="E49" s="180" t="s">
        <v>152</v>
      </c>
      <c r="F49" s="181" t="s">
        <v>268</v>
      </c>
      <c r="G49" s="180">
        <v>2024</v>
      </c>
      <c r="H49" s="181" t="s">
        <v>239</v>
      </c>
      <c r="I49" s="181" t="s">
        <v>192</v>
      </c>
      <c r="J49" s="181" t="s">
        <v>300</v>
      </c>
      <c r="K49" s="181"/>
      <c r="L49" s="180" t="s">
        <v>67</v>
      </c>
      <c r="M49" s="182" t="s">
        <v>148</v>
      </c>
      <c r="N49" s="182" t="s">
        <v>149</v>
      </c>
      <c r="O49" s="7" t="str">
        <f t="shared" si="5"/>
        <v>UTIM</v>
      </c>
      <c r="P49" s="7">
        <f t="shared" si="6"/>
        <v>2</v>
      </c>
      <c r="Q49" s="7">
        <f t="shared" si="7"/>
        <v>5</v>
      </c>
      <c r="R49" s="7">
        <f t="shared" si="8"/>
        <v>2030</v>
      </c>
      <c r="S49" s="7">
        <f t="shared" si="9"/>
        <v>2030</v>
      </c>
    </row>
    <row r="50" spans="1:19" ht="15" customHeight="1" x14ac:dyDescent="0.35">
      <c r="A50" s="180" t="s">
        <v>117</v>
      </c>
      <c r="B50" s="180" t="s">
        <v>141</v>
      </c>
      <c r="C50" s="180" t="s">
        <v>142</v>
      </c>
      <c r="D50" s="180" t="s">
        <v>301</v>
      </c>
      <c r="E50" s="180" t="s">
        <v>152</v>
      </c>
      <c r="F50" s="181" t="s">
        <v>268</v>
      </c>
      <c r="G50" s="180">
        <v>2023</v>
      </c>
      <c r="H50" s="181" t="s">
        <v>146</v>
      </c>
      <c r="I50" s="181" t="s">
        <v>68</v>
      </c>
      <c r="J50" s="181" t="s">
        <v>302</v>
      </c>
      <c r="K50" s="181" t="s">
        <v>250</v>
      </c>
      <c r="L50" s="180" t="s">
        <v>147</v>
      </c>
      <c r="M50" s="182" t="s">
        <v>148</v>
      </c>
      <c r="N50" s="182" t="s">
        <v>149</v>
      </c>
      <c r="O50" s="8" t="str">
        <f t="shared" si="5"/>
        <v>UTIM</v>
      </c>
      <c r="P50" s="8">
        <f t="shared" si="6"/>
        <v>3</v>
      </c>
      <c r="Q50" s="8">
        <f t="shared" si="7"/>
        <v>8</v>
      </c>
      <c r="R50" s="8">
        <f t="shared" si="8"/>
        <v>2032</v>
      </c>
      <c r="S50" s="8">
        <f t="shared" si="9"/>
        <v>2032</v>
      </c>
    </row>
    <row r="51" spans="1:19" ht="15" customHeight="1" x14ac:dyDescent="0.35">
      <c r="A51" s="183" t="s">
        <v>117</v>
      </c>
      <c r="B51" s="183" t="s">
        <v>141</v>
      </c>
      <c r="C51" s="183" t="s">
        <v>142</v>
      </c>
      <c r="D51" s="183" t="s">
        <v>303</v>
      </c>
      <c r="E51" s="183" t="s">
        <v>152</v>
      </c>
      <c r="F51" s="184" t="s">
        <v>268</v>
      </c>
      <c r="G51" s="183">
        <v>2023</v>
      </c>
      <c r="H51" s="184" t="s">
        <v>146</v>
      </c>
      <c r="I51" s="184" t="s">
        <v>68</v>
      </c>
      <c r="J51" s="184" t="s">
        <v>304</v>
      </c>
      <c r="K51" s="184" t="s">
        <v>250</v>
      </c>
      <c r="L51" s="183" t="s">
        <v>147</v>
      </c>
      <c r="M51" s="185" t="s">
        <v>148</v>
      </c>
      <c r="N51" s="185" t="s">
        <v>149</v>
      </c>
      <c r="O51" s="7" t="str">
        <f t="shared" si="5"/>
        <v>UTIM</v>
      </c>
      <c r="P51" s="7">
        <f t="shared" si="6"/>
        <v>3</v>
      </c>
      <c r="Q51" s="7">
        <f t="shared" si="7"/>
        <v>8</v>
      </c>
      <c r="R51" s="7">
        <f t="shared" si="8"/>
        <v>2032</v>
      </c>
      <c r="S51" s="7">
        <f t="shared" si="9"/>
        <v>2032</v>
      </c>
    </row>
    <row r="52" spans="1:19" ht="15" customHeight="1" x14ac:dyDescent="0.35">
      <c r="A52" s="268" t="s">
        <v>121</v>
      </c>
      <c r="B52" s="180" t="s">
        <v>156</v>
      </c>
      <c r="C52" s="180" t="s">
        <v>305</v>
      </c>
      <c r="D52" s="180" t="s">
        <v>306</v>
      </c>
      <c r="E52" s="180" t="s">
        <v>152</v>
      </c>
      <c r="F52" s="181" t="s">
        <v>268</v>
      </c>
      <c r="G52" s="180">
        <v>2025</v>
      </c>
      <c r="H52" s="181" t="s">
        <v>307</v>
      </c>
      <c r="I52" s="181" t="s">
        <v>568</v>
      </c>
      <c r="J52" s="181" t="s">
        <v>308</v>
      </c>
      <c r="K52" s="181"/>
      <c r="L52" s="180" t="s">
        <v>309</v>
      </c>
      <c r="M52" s="182" t="s">
        <v>148</v>
      </c>
      <c r="N52" s="182" t="s">
        <v>149</v>
      </c>
      <c r="O52" s="8" t="str">
        <f t="shared" si="5"/>
        <v>Logística</v>
      </c>
      <c r="P52" s="8">
        <f t="shared" si="6"/>
        <v>1</v>
      </c>
      <c r="Q52" s="8">
        <f t="shared" si="7"/>
        <v>10</v>
      </c>
      <c r="R52" s="8">
        <f t="shared" si="8"/>
        <v>2036</v>
      </c>
      <c r="S52" s="8">
        <f t="shared" si="9"/>
        <v>2036</v>
      </c>
    </row>
    <row r="53" spans="1:19" ht="15" customHeight="1" x14ac:dyDescent="0.35">
      <c r="A53" s="180" t="s">
        <v>114</v>
      </c>
      <c r="B53" s="180" t="s">
        <v>310</v>
      </c>
      <c r="C53" s="180" t="s">
        <v>311</v>
      </c>
      <c r="D53" s="180" t="s">
        <v>312</v>
      </c>
      <c r="E53" s="180" t="s">
        <v>313</v>
      </c>
      <c r="F53" s="280" t="s">
        <v>314</v>
      </c>
      <c r="G53" s="180">
        <v>2017</v>
      </c>
      <c r="H53" s="181" t="s">
        <v>315</v>
      </c>
      <c r="I53" s="181"/>
      <c r="J53" s="181" t="s">
        <v>316</v>
      </c>
      <c r="K53" s="181"/>
      <c r="L53" s="180" t="s">
        <v>315</v>
      </c>
      <c r="M53" s="182" t="s">
        <v>148</v>
      </c>
      <c r="N53" s="182" t="s">
        <v>317</v>
      </c>
      <c r="O53" s="7" t="str">
        <f t="shared" si="5"/>
        <v>Logística</v>
      </c>
      <c r="P53" s="7">
        <f t="shared" si="6"/>
        <v>9</v>
      </c>
      <c r="Q53" s="7">
        <f t="shared" si="7"/>
        <v>10</v>
      </c>
      <c r="R53" s="7">
        <f t="shared" si="8"/>
        <v>2028</v>
      </c>
      <c r="S53" s="7">
        <f t="shared" si="9"/>
        <v>2028</v>
      </c>
    </row>
    <row r="54" spans="1:19" ht="15" customHeight="1" x14ac:dyDescent="0.35">
      <c r="A54" s="180" t="s">
        <v>114</v>
      </c>
      <c r="B54" s="180" t="s">
        <v>310</v>
      </c>
      <c r="C54" s="180" t="s">
        <v>318</v>
      </c>
      <c r="D54" s="180" t="s">
        <v>319</v>
      </c>
      <c r="E54" s="180" t="s">
        <v>313</v>
      </c>
      <c r="F54" s="181" t="s">
        <v>320</v>
      </c>
      <c r="G54" s="180">
        <v>2017</v>
      </c>
      <c r="H54" s="181" t="s">
        <v>315</v>
      </c>
      <c r="I54" s="181"/>
      <c r="J54" s="181" t="s">
        <v>316</v>
      </c>
      <c r="K54" s="181"/>
      <c r="L54" s="180" t="s">
        <v>315</v>
      </c>
      <c r="M54" s="182" t="s">
        <v>148</v>
      </c>
      <c r="N54" s="182" t="s">
        <v>317</v>
      </c>
      <c r="O54" s="8" t="str">
        <f t="shared" si="5"/>
        <v>Logística</v>
      </c>
      <c r="P54" s="8">
        <f t="shared" si="6"/>
        <v>9</v>
      </c>
      <c r="Q54" s="8">
        <f t="shared" si="7"/>
        <v>10</v>
      </c>
      <c r="R54" s="8">
        <f t="shared" si="8"/>
        <v>2028</v>
      </c>
      <c r="S54" s="8">
        <f t="shared" si="9"/>
        <v>2028</v>
      </c>
    </row>
    <row r="55" spans="1:19" ht="15" customHeight="1" x14ac:dyDescent="0.35">
      <c r="A55" s="180" t="s">
        <v>114</v>
      </c>
      <c r="B55" s="180" t="s">
        <v>310</v>
      </c>
      <c r="C55" s="180" t="s">
        <v>321</v>
      </c>
      <c r="D55" s="180" t="s">
        <v>322</v>
      </c>
      <c r="E55" s="180" t="s">
        <v>313</v>
      </c>
      <c r="F55" s="181" t="s">
        <v>323</v>
      </c>
      <c r="G55" s="180">
        <v>2018</v>
      </c>
      <c r="H55" s="181" t="s">
        <v>315</v>
      </c>
      <c r="I55" s="181"/>
      <c r="J55" s="181" t="s">
        <v>324</v>
      </c>
      <c r="K55" s="181"/>
      <c r="L55" s="180" t="s">
        <v>315</v>
      </c>
      <c r="M55" s="182" t="s">
        <v>148</v>
      </c>
      <c r="N55" s="182" t="s">
        <v>317</v>
      </c>
      <c r="O55" s="7" t="str">
        <f t="shared" si="5"/>
        <v>Logística</v>
      </c>
      <c r="P55" s="7">
        <f t="shared" si="6"/>
        <v>8</v>
      </c>
      <c r="Q55" s="7">
        <f t="shared" si="7"/>
        <v>10</v>
      </c>
      <c r="R55" s="7">
        <f t="shared" si="8"/>
        <v>2029</v>
      </c>
      <c r="S55" s="7">
        <f t="shared" si="9"/>
        <v>2029</v>
      </c>
    </row>
    <row r="56" spans="1:19" ht="15" customHeight="1" x14ac:dyDescent="0.35">
      <c r="A56" s="180" t="s">
        <v>114</v>
      </c>
      <c r="B56" s="180" t="s">
        <v>310</v>
      </c>
      <c r="C56" s="180" t="s">
        <v>325</v>
      </c>
      <c r="D56" s="180" t="s">
        <v>326</v>
      </c>
      <c r="E56" s="180" t="s">
        <v>313</v>
      </c>
      <c r="F56" s="181" t="s">
        <v>323</v>
      </c>
      <c r="G56" s="180">
        <v>2019</v>
      </c>
      <c r="H56" s="181" t="s">
        <v>315</v>
      </c>
      <c r="I56" s="181"/>
      <c r="J56" s="181" t="s">
        <v>324</v>
      </c>
      <c r="K56" s="181"/>
      <c r="L56" s="180" t="s">
        <v>315</v>
      </c>
      <c r="M56" s="182" t="s">
        <v>148</v>
      </c>
      <c r="N56" s="182" t="s">
        <v>317</v>
      </c>
      <c r="O56" s="8" t="str">
        <f t="shared" si="5"/>
        <v>Logística</v>
      </c>
      <c r="P56" s="8">
        <f t="shared" si="6"/>
        <v>7</v>
      </c>
      <c r="Q56" s="8">
        <f t="shared" si="7"/>
        <v>10</v>
      </c>
      <c r="R56" s="8">
        <f t="shared" si="8"/>
        <v>2030</v>
      </c>
      <c r="S56" s="8">
        <f t="shared" si="9"/>
        <v>2030</v>
      </c>
    </row>
    <row r="57" spans="1:19" ht="15" customHeight="1" x14ac:dyDescent="0.35">
      <c r="A57" s="180" t="s">
        <v>114</v>
      </c>
      <c r="B57" s="180" t="s">
        <v>310</v>
      </c>
      <c r="C57" s="180" t="s">
        <v>327</v>
      </c>
      <c r="D57" s="180" t="s">
        <v>328</v>
      </c>
      <c r="E57" s="180" t="s">
        <v>313</v>
      </c>
      <c r="F57" s="181" t="s">
        <v>323</v>
      </c>
      <c r="G57" s="180">
        <v>2019</v>
      </c>
      <c r="H57" s="181" t="s">
        <v>315</v>
      </c>
      <c r="I57" s="181"/>
      <c r="J57" s="181" t="s">
        <v>316</v>
      </c>
      <c r="K57" s="181"/>
      <c r="L57" s="180" t="s">
        <v>315</v>
      </c>
      <c r="M57" s="182" t="s">
        <v>148</v>
      </c>
      <c r="N57" s="182" t="s">
        <v>317</v>
      </c>
      <c r="O57" s="7" t="str">
        <f t="shared" si="5"/>
        <v>Logística</v>
      </c>
      <c r="P57" s="7">
        <f t="shared" si="6"/>
        <v>7</v>
      </c>
      <c r="Q57" s="7">
        <f t="shared" si="7"/>
        <v>10</v>
      </c>
      <c r="R57" s="7">
        <f t="shared" si="8"/>
        <v>2030</v>
      </c>
      <c r="S57" s="7">
        <f t="shared" si="9"/>
        <v>2030</v>
      </c>
    </row>
    <row r="58" spans="1:19" ht="15" customHeight="1" x14ac:dyDescent="0.35">
      <c r="A58" s="180" t="s">
        <v>114</v>
      </c>
      <c r="B58" s="180" t="s">
        <v>310</v>
      </c>
      <c r="C58" s="180" t="s">
        <v>329</v>
      </c>
      <c r="D58" s="180" t="s">
        <v>330</v>
      </c>
      <c r="E58" s="180" t="s">
        <v>313</v>
      </c>
      <c r="F58" s="181" t="s">
        <v>714</v>
      </c>
      <c r="G58" s="180">
        <v>2021</v>
      </c>
      <c r="H58" s="181" t="s">
        <v>315</v>
      </c>
      <c r="I58" s="181"/>
      <c r="J58" s="181" t="s">
        <v>331</v>
      </c>
      <c r="K58" s="181"/>
      <c r="L58" s="180" t="s">
        <v>315</v>
      </c>
      <c r="M58" s="182" t="s">
        <v>148</v>
      </c>
      <c r="N58" s="182" t="s">
        <v>317</v>
      </c>
      <c r="O58" s="8" t="str">
        <f t="shared" si="5"/>
        <v>Logística</v>
      </c>
      <c r="P58" s="8">
        <f t="shared" si="6"/>
        <v>5</v>
      </c>
      <c r="Q58" s="8">
        <f t="shared" si="7"/>
        <v>10</v>
      </c>
      <c r="R58" s="8">
        <f t="shared" si="8"/>
        <v>2032</v>
      </c>
      <c r="S58" s="8">
        <f t="shared" si="9"/>
        <v>2032</v>
      </c>
    </row>
    <row r="59" spans="1:19" ht="15" customHeight="1" x14ac:dyDescent="0.35">
      <c r="A59" s="180" t="s">
        <v>114</v>
      </c>
      <c r="B59" s="180" t="s">
        <v>310</v>
      </c>
      <c r="C59" s="180" t="s">
        <v>332</v>
      </c>
      <c r="D59" s="180" t="s">
        <v>333</v>
      </c>
      <c r="E59" s="180" t="s">
        <v>313</v>
      </c>
      <c r="F59" s="181" t="s">
        <v>715</v>
      </c>
      <c r="G59" s="180">
        <v>2022</v>
      </c>
      <c r="H59" s="181" t="s">
        <v>315</v>
      </c>
      <c r="I59" s="181"/>
      <c r="J59" s="181" t="s">
        <v>335</v>
      </c>
      <c r="K59" s="181"/>
      <c r="L59" s="180" t="s">
        <v>315</v>
      </c>
      <c r="M59" s="182" t="s">
        <v>148</v>
      </c>
      <c r="N59" s="182" t="s">
        <v>317</v>
      </c>
      <c r="O59" s="7" t="str">
        <f t="shared" si="5"/>
        <v>Logística</v>
      </c>
      <c r="P59" s="7">
        <f t="shared" si="6"/>
        <v>4</v>
      </c>
      <c r="Q59" s="7">
        <f t="shared" si="7"/>
        <v>10</v>
      </c>
      <c r="R59" s="7">
        <f t="shared" si="8"/>
        <v>2033</v>
      </c>
      <c r="S59" s="7">
        <f t="shared" si="9"/>
        <v>2033</v>
      </c>
    </row>
    <row r="60" spans="1:19" ht="15" customHeight="1" x14ac:dyDescent="0.35">
      <c r="A60" s="180" t="s">
        <v>114</v>
      </c>
      <c r="B60" s="180" t="s">
        <v>310</v>
      </c>
      <c r="C60" s="180" t="s">
        <v>336</v>
      </c>
      <c r="D60" s="180" t="s">
        <v>337</v>
      </c>
      <c r="E60" s="180" t="s">
        <v>313</v>
      </c>
      <c r="F60" s="181" t="s">
        <v>338</v>
      </c>
      <c r="G60" s="180">
        <v>2022</v>
      </c>
      <c r="H60" s="181" t="s">
        <v>315</v>
      </c>
      <c r="I60" s="181"/>
      <c r="J60" s="181" t="s">
        <v>339</v>
      </c>
      <c r="K60" s="181"/>
      <c r="L60" s="180" t="s">
        <v>315</v>
      </c>
      <c r="M60" s="182" t="s">
        <v>148</v>
      </c>
      <c r="N60" s="182" t="s">
        <v>317</v>
      </c>
      <c r="O60" s="8" t="str">
        <f t="shared" si="5"/>
        <v>Logística</v>
      </c>
      <c r="P60" s="8">
        <f t="shared" si="6"/>
        <v>4</v>
      </c>
      <c r="Q60" s="8">
        <f t="shared" si="7"/>
        <v>10</v>
      </c>
      <c r="R60" s="8">
        <f t="shared" si="8"/>
        <v>2033</v>
      </c>
      <c r="S60" s="8">
        <f t="shared" si="9"/>
        <v>2033</v>
      </c>
    </row>
    <row r="61" spans="1:19" ht="15" customHeight="1" x14ac:dyDescent="0.35">
      <c r="A61" s="180" t="s">
        <v>114</v>
      </c>
      <c r="B61" s="180" t="s">
        <v>310</v>
      </c>
      <c r="C61" s="180" t="s">
        <v>340</v>
      </c>
      <c r="D61" s="180" t="s">
        <v>341</v>
      </c>
      <c r="E61" s="180" t="s">
        <v>313</v>
      </c>
      <c r="F61" s="181" t="s">
        <v>342</v>
      </c>
      <c r="G61" s="180">
        <v>2022</v>
      </c>
      <c r="H61" s="181" t="s">
        <v>315</v>
      </c>
      <c r="I61" s="181"/>
      <c r="J61" s="181" t="s">
        <v>316</v>
      </c>
      <c r="K61" s="181"/>
      <c r="L61" s="180" t="s">
        <v>315</v>
      </c>
      <c r="M61" s="182" t="s">
        <v>148</v>
      </c>
      <c r="N61" s="182" t="s">
        <v>317</v>
      </c>
      <c r="O61" s="7" t="str">
        <f t="shared" si="5"/>
        <v>Logística</v>
      </c>
      <c r="P61" s="7">
        <f t="shared" si="6"/>
        <v>4</v>
      </c>
      <c r="Q61" s="7">
        <f t="shared" si="7"/>
        <v>10</v>
      </c>
      <c r="R61" s="7">
        <f t="shared" si="8"/>
        <v>2033</v>
      </c>
      <c r="S61" s="7">
        <f t="shared" si="9"/>
        <v>2033</v>
      </c>
    </row>
    <row r="62" spans="1:19" ht="15" customHeight="1" x14ac:dyDescent="0.35">
      <c r="A62" s="180" t="s">
        <v>114</v>
      </c>
      <c r="B62" s="180" t="s">
        <v>310</v>
      </c>
      <c r="C62" s="180" t="s">
        <v>343</v>
      </c>
      <c r="D62" s="180" t="s">
        <v>344</v>
      </c>
      <c r="E62" s="180" t="s">
        <v>313</v>
      </c>
      <c r="F62" s="181" t="s">
        <v>342</v>
      </c>
      <c r="G62" s="180">
        <v>2022</v>
      </c>
      <c r="H62" s="181" t="s">
        <v>315</v>
      </c>
      <c r="I62" s="181"/>
      <c r="J62" s="181" t="s">
        <v>345</v>
      </c>
      <c r="K62" s="181"/>
      <c r="L62" s="180" t="s">
        <v>315</v>
      </c>
      <c r="M62" s="182" t="s">
        <v>148</v>
      </c>
      <c r="N62" s="182" t="s">
        <v>317</v>
      </c>
      <c r="O62" s="8" t="str">
        <f t="shared" si="5"/>
        <v>Logística</v>
      </c>
      <c r="P62" s="8">
        <f t="shared" si="6"/>
        <v>4</v>
      </c>
      <c r="Q62" s="8">
        <f t="shared" si="7"/>
        <v>10</v>
      </c>
      <c r="R62" s="8">
        <f t="shared" si="8"/>
        <v>2033</v>
      </c>
      <c r="S62" s="8">
        <f t="shared" si="9"/>
        <v>2033</v>
      </c>
    </row>
    <row r="63" spans="1:19" ht="15" customHeight="1" x14ac:dyDescent="0.35">
      <c r="A63" s="180" t="s">
        <v>114</v>
      </c>
      <c r="B63" s="180" t="s">
        <v>310</v>
      </c>
      <c r="C63" s="180" t="s">
        <v>346</v>
      </c>
      <c r="D63" s="180" t="s">
        <v>347</v>
      </c>
      <c r="E63" s="180" t="s">
        <v>313</v>
      </c>
      <c r="F63" s="181" t="s">
        <v>334</v>
      </c>
      <c r="G63" s="180">
        <v>2022</v>
      </c>
      <c r="H63" s="181" t="s">
        <v>315</v>
      </c>
      <c r="I63" s="181"/>
      <c r="J63" s="181" t="s">
        <v>335</v>
      </c>
      <c r="K63" s="181"/>
      <c r="L63" s="180" t="s">
        <v>315</v>
      </c>
      <c r="M63" s="182" t="s">
        <v>148</v>
      </c>
      <c r="N63" s="182" t="s">
        <v>317</v>
      </c>
      <c r="O63" s="7" t="str">
        <f t="shared" si="5"/>
        <v>Logística</v>
      </c>
      <c r="P63" s="7">
        <f t="shared" si="6"/>
        <v>4</v>
      </c>
      <c r="Q63" s="7">
        <f t="shared" si="7"/>
        <v>10</v>
      </c>
      <c r="R63" s="7">
        <f t="shared" si="8"/>
        <v>2033</v>
      </c>
      <c r="S63" s="7">
        <f t="shared" si="9"/>
        <v>2033</v>
      </c>
    </row>
    <row r="64" spans="1:19" ht="15" customHeight="1" x14ac:dyDescent="0.35">
      <c r="A64" s="180" t="s">
        <v>114</v>
      </c>
      <c r="B64" s="180" t="s">
        <v>310</v>
      </c>
      <c r="C64" s="180" t="s">
        <v>348</v>
      </c>
      <c r="D64" s="180" t="s">
        <v>349</v>
      </c>
      <c r="E64" s="180" t="s">
        <v>144</v>
      </c>
      <c r="F64" s="181" t="s">
        <v>350</v>
      </c>
      <c r="G64" s="180">
        <v>2023</v>
      </c>
      <c r="H64" s="181" t="s">
        <v>315</v>
      </c>
      <c r="I64" s="181"/>
      <c r="J64" s="181" t="s">
        <v>351</v>
      </c>
      <c r="K64" s="181"/>
      <c r="L64" s="180" t="s">
        <v>315</v>
      </c>
      <c r="M64" s="182" t="s">
        <v>148</v>
      </c>
      <c r="N64" s="182" t="s">
        <v>317</v>
      </c>
      <c r="O64" s="8" t="str">
        <f t="shared" si="5"/>
        <v>Logística</v>
      </c>
      <c r="P64" s="8">
        <f t="shared" si="6"/>
        <v>3</v>
      </c>
      <c r="Q64" s="8">
        <f t="shared" si="7"/>
        <v>10</v>
      </c>
      <c r="R64" s="8">
        <f t="shared" si="8"/>
        <v>2034</v>
      </c>
      <c r="S64" s="8">
        <f t="shared" si="9"/>
        <v>2034</v>
      </c>
    </row>
    <row r="65" spans="1:21" ht="15" customHeight="1" x14ac:dyDescent="0.35">
      <c r="A65" s="180" t="s">
        <v>114</v>
      </c>
      <c r="B65" s="180" t="s">
        <v>310</v>
      </c>
      <c r="C65" s="180" t="s">
        <v>298</v>
      </c>
      <c r="D65" s="180" t="s">
        <v>352</v>
      </c>
      <c r="E65" s="180" t="s">
        <v>313</v>
      </c>
      <c r="F65" s="181" t="s">
        <v>353</v>
      </c>
      <c r="G65" s="180">
        <v>2024</v>
      </c>
      <c r="H65" s="181" t="s">
        <v>315</v>
      </c>
      <c r="I65" s="181"/>
      <c r="J65" s="181" t="s">
        <v>316</v>
      </c>
      <c r="K65" s="181"/>
      <c r="L65" s="180" t="s">
        <v>315</v>
      </c>
      <c r="M65" s="182" t="s">
        <v>148</v>
      </c>
      <c r="N65" s="182" t="s">
        <v>317</v>
      </c>
      <c r="O65" s="7" t="str">
        <f t="shared" si="5"/>
        <v>Logística</v>
      </c>
      <c r="P65" s="7">
        <f t="shared" si="6"/>
        <v>2</v>
      </c>
      <c r="Q65" s="7">
        <f t="shared" si="7"/>
        <v>10</v>
      </c>
      <c r="R65" s="7">
        <f t="shared" si="8"/>
        <v>2035</v>
      </c>
      <c r="S65" s="7">
        <f t="shared" si="9"/>
        <v>2035</v>
      </c>
    </row>
    <row r="66" spans="1:21" ht="15" customHeight="1" x14ac:dyDescent="0.35">
      <c r="A66" s="180" t="s">
        <v>114</v>
      </c>
      <c r="B66" s="180" t="s">
        <v>310</v>
      </c>
      <c r="C66" s="180" t="s">
        <v>354</v>
      </c>
      <c r="D66" s="180" t="s">
        <v>355</v>
      </c>
      <c r="E66" s="180" t="s">
        <v>313</v>
      </c>
      <c r="F66" s="181" t="s">
        <v>356</v>
      </c>
      <c r="G66" s="180">
        <v>2024</v>
      </c>
      <c r="H66" s="181" t="s">
        <v>315</v>
      </c>
      <c r="I66" s="181"/>
      <c r="J66" s="181" t="s">
        <v>316</v>
      </c>
      <c r="K66" s="181"/>
      <c r="L66" s="180" t="s">
        <v>315</v>
      </c>
      <c r="M66" s="182" t="s">
        <v>148</v>
      </c>
      <c r="N66" s="182" t="s">
        <v>317</v>
      </c>
      <c r="O66" s="8" t="str">
        <f t="shared" si="5"/>
        <v>Logística</v>
      </c>
      <c r="P66" s="8">
        <f t="shared" si="6"/>
        <v>2</v>
      </c>
      <c r="Q66" s="8">
        <f t="shared" si="7"/>
        <v>10</v>
      </c>
      <c r="R66" s="8">
        <f t="shared" si="8"/>
        <v>2035</v>
      </c>
      <c r="S66" s="8">
        <f t="shared" si="9"/>
        <v>2035</v>
      </c>
    </row>
    <row r="67" spans="1:21" ht="15" customHeight="1" x14ac:dyDescent="0.35">
      <c r="A67" s="180" t="s">
        <v>114</v>
      </c>
      <c r="B67" s="180" t="s">
        <v>310</v>
      </c>
      <c r="C67" s="180" t="s">
        <v>357</v>
      </c>
      <c r="D67" s="180" t="s">
        <v>358</v>
      </c>
      <c r="E67" s="180" t="s">
        <v>313</v>
      </c>
      <c r="F67" s="181" t="s">
        <v>359</v>
      </c>
      <c r="G67" s="180">
        <v>2024</v>
      </c>
      <c r="H67" s="181" t="s">
        <v>315</v>
      </c>
      <c r="I67" s="181"/>
      <c r="J67" s="181" t="s">
        <v>316</v>
      </c>
      <c r="K67" s="181"/>
      <c r="L67" s="180" t="s">
        <v>315</v>
      </c>
      <c r="M67" s="182" t="s">
        <v>148</v>
      </c>
      <c r="N67" s="182" t="s">
        <v>317</v>
      </c>
      <c r="O67" s="7" t="str">
        <f t="shared" ref="O67:O96" si="10">IF(ISNUMBER(SEARCH("UTIM",A67)),"UTIM","Logística")</f>
        <v>Logística</v>
      </c>
      <c r="P67" s="7">
        <f t="shared" ref="P67:P96" si="11">2026-G67</f>
        <v>2</v>
      </c>
      <c r="Q67" s="7">
        <f t="shared" ref="Q67:Q96" si="12">IF(I67="UCI","",IF(I67="VISTA OIL",5,IF(B67="Petróleo",8,IF(B67="Minería",3,10))))</f>
        <v>10</v>
      </c>
      <c r="R67" s="7">
        <f t="shared" ref="R67:R96" si="13">IF(Q67="","",G67+Q67+1)</f>
        <v>2035</v>
      </c>
      <c r="S67" s="7">
        <f t="shared" ref="S67:S96" si="14">IF(Q67="","",IF(AND(B67="Minería",P67&lt;=8),G67+8+1,R67))</f>
        <v>2035</v>
      </c>
    </row>
    <row r="68" spans="1:21" ht="15" customHeight="1" x14ac:dyDescent="0.35">
      <c r="A68" s="180" t="s">
        <v>114</v>
      </c>
      <c r="B68" s="180" t="s">
        <v>310</v>
      </c>
      <c r="C68" s="180" t="s">
        <v>360</v>
      </c>
      <c r="D68" s="180" t="s">
        <v>361</v>
      </c>
      <c r="E68" s="180" t="s">
        <v>313</v>
      </c>
      <c r="F68" s="181" t="s">
        <v>359</v>
      </c>
      <c r="G68" s="180">
        <v>2024</v>
      </c>
      <c r="H68" s="181" t="s">
        <v>315</v>
      </c>
      <c r="I68" s="181"/>
      <c r="J68" s="181" t="s">
        <v>316</v>
      </c>
      <c r="K68" s="181"/>
      <c r="L68" s="180" t="s">
        <v>315</v>
      </c>
      <c r="M68" s="182" t="s">
        <v>148</v>
      </c>
      <c r="N68" s="182" t="s">
        <v>317</v>
      </c>
      <c r="O68" s="8" t="str">
        <f t="shared" si="10"/>
        <v>Logística</v>
      </c>
      <c r="P68" s="8">
        <f t="shared" si="11"/>
        <v>2</v>
      </c>
      <c r="Q68" s="8">
        <f t="shared" si="12"/>
        <v>10</v>
      </c>
      <c r="R68" s="8">
        <f t="shared" si="13"/>
        <v>2035</v>
      </c>
      <c r="S68" s="8">
        <f t="shared" si="14"/>
        <v>2035</v>
      </c>
    </row>
    <row r="69" spans="1:21" ht="15" customHeight="1" x14ac:dyDescent="0.35">
      <c r="A69" s="180" t="s">
        <v>114</v>
      </c>
      <c r="B69" s="180" t="s">
        <v>310</v>
      </c>
      <c r="C69" s="180" t="s">
        <v>362</v>
      </c>
      <c r="D69" s="180" t="s">
        <v>363</v>
      </c>
      <c r="E69" s="180" t="s">
        <v>313</v>
      </c>
      <c r="F69" s="181" t="s">
        <v>356</v>
      </c>
      <c r="G69" s="180">
        <v>2024</v>
      </c>
      <c r="H69" s="181" t="s">
        <v>315</v>
      </c>
      <c r="I69" s="181"/>
      <c r="J69" s="181" t="s">
        <v>316</v>
      </c>
      <c r="K69" s="181"/>
      <c r="L69" s="180" t="s">
        <v>315</v>
      </c>
      <c r="M69" s="182" t="s">
        <v>148</v>
      </c>
      <c r="N69" s="182" t="s">
        <v>317</v>
      </c>
      <c r="O69" s="7" t="str">
        <f t="shared" si="10"/>
        <v>Logística</v>
      </c>
      <c r="P69" s="7">
        <f t="shared" si="11"/>
        <v>2</v>
      </c>
      <c r="Q69" s="7">
        <f t="shared" si="12"/>
        <v>10</v>
      </c>
      <c r="R69" s="7">
        <f t="shared" si="13"/>
        <v>2035</v>
      </c>
      <c r="S69" s="7">
        <f t="shared" si="14"/>
        <v>2035</v>
      </c>
    </row>
    <row r="70" spans="1:21" ht="15" customHeight="1" x14ac:dyDescent="0.35">
      <c r="A70" s="180" t="s">
        <v>114</v>
      </c>
      <c r="B70" s="180" t="s">
        <v>310</v>
      </c>
      <c r="C70" s="180" t="s">
        <v>364</v>
      </c>
      <c r="D70" s="180" t="s">
        <v>365</v>
      </c>
      <c r="E70" s="180" t="s">
        <v>313</v>
      </c>
      <c r="F70" s="181" t="s">
        <v>359</v>
      </c>
      <c r="G70" s="180">
        <v>2024</v>
      </c>
      <c r="H70" s="181" t="s">
        <v>315</v>
      </c>
      <c r="I70" s="181"/>
      <c r="J70" s="181" t="s">
        <v>316</v>
      </c>
      <c r="K70" s="181"/>
      <c r="L70" s="180" t="s">
        <v>315</v>
      </c>
      <c r="M70" s="182" t="s">
        <v>148</v>
      </c>
      <c r="N70" s="182" t="s">
        <v>317</v>
      </c>
      <c r="O70" s="8" t="str">
        <f t="shared" si="10"/>
        <v>Logística</v>
      </c>
      <c r="P70" s="8">
        <f t="shared" si="11"/>
        <v>2</v>
      </c>
      <c r="Q70" s="8">
        <f t="shared" si="12"/>
        <v>10</v>
      </c>
      <c r="R70" s="8">
        <f t="shared" si="13"/>
        <v>2035</v>
      </c>
      <c r="S70" s="8">
        <f t="shared" si="14"/>
        <v>2035</v>
      </c>
    </row>
    <row r="71" spans="1:21" ht="15" customHeight="1" x14ac:dyDescent="0.35">
      <c r="A71" s="180" t="s">
        <v>114</v>
      </c>
      <c r="B71" s="180" t="s">
        <v>310</v>
      </c>
      <c r="C71" s="180" t="s">
        <v>366</v>
      </c>
      <c r="D71" s="180" t="s">
        <v>367</v>
      </c>
      <c r="E71" s="180" t="s">
        <v>313</v>
      </c>
      <c r="F71" s="181" t="s">
        <v>359</v>
      </c>
      <c r="G71" s="180">
        <v>2025</v>
      </c>
      <c r="H71" s="181" t="s">
        <v>315</v>
      </c>
      <c r="I71" s="181"/>
      <c r="J71" s="181" t="s">
        <v>331</v>
      </c>
      <c r="K71" s="181"/>
      <c r="L71" s="180" t="s">
        <v>315</v>
      </c>
      <c r="M71" s="182" t="s">
        <v>148</v>
      </c>
      <c r="N71" s="182" t="s">
        <v>317</v>
      </c>
      <c r="O71" s="7" t="str">
        <f t="shared" si="10"/>
        <v>Logística</v>
      </c>
      <c r="P71" s="7">
        <f t="shared" si="11"/>
        <v>1</v>
      </c>
      <c r="Q71" s="7">
        <f t="shared" si="12"/>
        <v>10</v>
      </c>
      <c r="R71" s="7">
        <f t="shared" si="13"/>
        <v>2036</v>
      </c>
      <c r="S71" s="7">
        <f t="shared" si="14"/>
        <v>2036</v>
      </c>
    </row>
    <row r="72" spans="1:21" ht="15" customHeight="1" x14ac:dyDescent="0.35">
      <c r="A72" s="180" t="s">
        <v>114</v>
      </c>
      <c r="B72" s="180" t="s">
        <v>310</v>
      </c>
      <c r="C72" s="180" t="s">
        <v>368</v>
      </c>
      <c r="D72" s="180" t="s">
        <v>369</v>
      </c>
      <c r="E72" s="180" t="s">
        <v>313</v>
      </c>
      <c r="F72" s="181" t="s">
        <v>359</v>
      </c>
      <c r="G72" s="180">
        <v>2025</v>
      </c>
      <c r="H72" s="181" t="s">
        <v>315</v>
      </c>
      <c r="I72" s="181"/>
      <c r="J72" s="181" t="s">
        <v>370</v>
      </c>
      <c r="K72" s="181"/>
      <c r="L72" s="180" t="s">
        <v>315</v>
      </c>
      <c r="M72" s="182" t="s">
        <v>148</v>
      </c>
      <c r="N72" s="182" t="s">
        <v>317</v>
      </c>
      <c r="O72" s="8" t="str">
        <f t="shared" si="10"/>
        <v>Logística</v>
      </c>
      <c r="P72" s="8">
        <f t="shared" si="11"/>
        <v>1</v>
      </c>
      <c r="Q72" s="8">
        <f t="shared" si="12"/>
        <v>10</v>
      </c>
      <c r="R72" s="8">
        <f t="shared" si="13"/>
        <v>2036</v>
      </c>
      <c r="S72" s="8">
        <f t="shared" si="14"/>
        <v>2036</v>
      </c>
    </row>
    <row r="73" spans="1:21" ht="15" customHeight="1" x14ac:dyDescent="0.35">
      <c r="A73" s="186" t="s">
        <v>119</v>
      </c>
      <c r="B73" s="186" t="s">
        <v>277</v>
      </c>
      <c r="C73" s="186" t="s">
        <v>371</v>
      </c>
      <c r="D73" s="186" t="s">
        <v>372</v>
      </c>
      <c r="E73" s="186" t="s">
        <v>152</v>
      </c>
      <c r="F73" s="187" t="s">
        <v>159</v>
      </c>
      <c r="G73" s="186">
        <v>2017</v>
      </c>
      <c r="H73" s="187" t="s">
        <v>373</v>
      </c>
      <c r="I73" s="187" t="s">
        <v>107</v>
      </c>
      <c r="J73" s="187" t="s">
        <v>374</v>
      </c>
      <c r="K73" s="187"/>
      <c r="L73" s="186" t="s">
        <v>79</v>
      </c>
      <c r="M73" s="191" t="s">
        <v>82</v>
      </c>
      <c r="N73" s="191" t="s">
        <v>82</v>
      </c>
      <c r="O73" s="7" t="str">
        <f t="shared" si="10"/>
        <v>UTIM</v>
      </c>
      <c r="P73" s="7">
        <f t="shared" si="11"/>
        <v>9</v>
      </c>
      <c r="Q73" s="7">
        <f t="shared" si="12"/>
        <v>10</v>
      </c>
      <c r="R73" s="7">
        <f t="shared" si="13"/>
        <v>2028</v>
      </c>
      <c r="S73" s="7">
        <f t="shared" si="14"/>
        <v>2028</v>
      </c>
      <c r="T73" t="s">
        <v>733</v>
      </c>
    </row>
    <row r="74" spans="1:21" ht="15" customHeight="1" x14ac:dyDescent="0.35">
      <c r="A74" s="180" t="s">
        <v>119</v>
      </c>
      <c r="B74" s="180" t="s">
        <v>379</v>
      </c>
      <c r="C74" s="180" t="s">
        <v>380</v>
      </c>
      <c r="D74" s="180" t="s">
        <v>381</v>
      </c>
      <c r="E74" s="180" t="s">
        <v>152</v>
      </c>
      <c r="F74" s="181" t="s">
        <v>182</v>
      </c>
      <c r="G74" s="180">
        <v>2019</v>
      </c>
      <c r="H74" s="181" t="s">
        <v>373</v>
      </c>
      <c r="I74" s="181" t="s">
        <v>80</v>
      </c>
      <c r="J74" s="181" t="s">
        <v>382</v>
      </c>
      <c r="K74" s="181"/>
      <c r="L74" s="180" t="s">
        <v>79</v>
      </c>
      <c r="M74" s="182" t="s">
        <v>76</v>
      </c>
      <c r="N74" s="182" t="s">
        <v>76</v>
      </c>
      <c r="O74" s="8" t="str">
        <f t="shared" si="10"/>
        <v>UTIM</v>
      </c>
      <c r="P74" s="8">
        <f t="shared" si="11"/>
        <v>7</v>
      </c>
      <c r="Q74" s="8">
        <f t="shared" si="12"/>
        <v>3</v>
      </c>
      <c r="R74" s="8">
        <f t="shared" si="13"/>
        <v>2023</v>
      </c>
      <c r="S74" s="8">
        <f t="shared" si="14"/>
        <v>2028</v>
      </c>
      <c r="T74" t="s">
        <v>719</v>
      </c>
      <c r="U74" t="s">
        <v>726</v>
      </c>
    </row>
    <row r="75" spans="1:21" ht="15" customHeight="1" x14ac:dyDescent="0.35">
      <c r="A75" s="189" t="s">
        <v>119</v>
      </c>
      <c r="B75" s="189" t="s">
        <v>379</v>
      </c>
      <c r="C75" s="189" t="s">
        <v>383</v>
      </c>
      <c r="D75" s="189" t="s">
        <v>384</v>
      </c>
      <c r="E75" s="189" t="s">
        <v>152</v>
      </c>
      <c r="F75" s="190" t="s">
        <v>245</v>
      </c>
      <c r="G75" s="189">
        <v>2022</v>
      </c>
      <c r="H75" s="190" t="s">
        <v>373</v>
      </c>
      <c r="I75" s="190" t="s">
        <v>385</v>
      </c>
      <c r="J75" s="190"/>
      <c r="K75" s="190"/>
      <c r="L75" s="189" t="s">
        <v>79</v>
      </c>
      <c r="M75" s="191" t="s">
        <v>82</v>
      </c>
      <c r="N75" s="191" t="s">
        <v>82</v>
      </c>
      <c r="O75" s="7" t="str">
        <f t="shared" si="10"/>
        <v>UTIM</v>
      </c>
      <c r="P75" s="7">
        <f t="shared" si="11"/>
        <v>4</v>
      </c>
      <c r="Q75" s="7">
        <f t="shared" si="12"/>
        <v>3</v>
      </c>
      <c r="R75" s="7">
        <f t="shared" si="13"/>
        <v>2026</v>
      </c>
      <c r="S75" s="7">
        <f t="shared" si="14"/>
        <v>2031</v>
      </c>
    </row>
    <row r="76" spans="1:21" ht="15" customHeight="1" x14ac:dyDescent="0.35">
      <c r="A76" s="268" t="s">
        <v>119</v>
      </c>
      <c r="B76" s="268" t="s">
        <v>379</v>
      </c>
      <c r="C76" s="268" t="s">
        <v>386</v>
      </c>
      <c r="D76" s="268" t="s">
        <v>387</v>
      </c>
      <c r="E76" s="268" t="s">
        <v>152</v>
      </c>
      <c r="F76" s="283" t="s">
        <v>245</v>
      </c>
      <c r="G76" s="268">
        <v>2022</v>
      </c>
      <c r="H76" s="283" t="s">
        <v>373</v>
      </c>
      <c r="I76" s="283" t="s">
        <v>80</v>
      </c>
      <c r="J76" s="283"/>
      <c r="K76" s="283"/>
      <c r="L76" s="268" t="s">
        <v>79</v>
      </c>
      <c r="M76" s="182" t="s">
        <v>148</v>
      </c>
      <c r="N76" s="182" t="s">
        <v>149</v>
      </c>
      <c r="O76" s="7" t="str">
        <f t="shared" si="10"/>
        <v>UTIM</v>
      </c>
      <c r="P76" s="7">
        <f t="shared" si="11"/>
        <v>4</v>
      </c>
      <c r="Q76" s="7">
        <f t="shared" si="12"/>
        <v>3</v>
      </c>
      <c r="R76" s="7">
        <f t="shared" si="13"/>
        <v>2026</v>
      </c>
      <c r="S76" s="7">
        <f t="shared" si="14"/>
        <v>2031</v>
      </c>
      <c r="T76" t="s">
        <v>735</v>
      </c>
    </row>
    <row r="77" spans="1:21" ht="15" customHeight="1" x14ac:dyDescent="0.35">
      <c r="A77" s="180" t="s">
        <v>119</v>
      </c>
      <c r="B77" s="180" t="s">
        <v>379</v>
      </c>
      <c r="C77" s="180" t="s">
        <v>388</v>
      </c>
      <c r="D77" s="180" t="s">
        <v>389</v>
      </c>
      <c r="E77" s="180" t="s">
        <v>152</v>
      </c>
      <c r="F77" s="181" t="s">
        <v>245</v>
      </c>
      <c r="G77" s="180">
        <v>2022</v>
      </c>
      <c r="H77" s="181" t="s">
        <v>373</v>
      </c>
      <c r="I77" s="181" t="s">
        <v>107</v>
      </c>
      <c r="J77" s="181"/>
      <c r="K77" s="181" t="s">
        <v>77</v>
      </c>
      <c r="L77" s="180" t="s">
        <v>79</v>
      </c>
      <c r="M77" s="182" t="s">
        <v>76</v>
      </c>
      <c r="N77" s="182" t="s">
        <v>76</v>
      </c>
      <c r="O77" s="7" t="str">
        <f t="shared" si="10"/>
        <v>UTIM</v>
      </c>
      <c r="P77" s="7">
        <f t="shared" si="11"/>
        <v>4</v>
      </c>
      <c r="Q77" s="7">
        <f t="shared" si="12"/>
        <v>3</v>
      </c>
      <c r="R77" s="7">
        <f t="shared" si="13"/>
        <v>2026</v>
      </c>
      <c r="S77" s="7">
        <f t="shared" si="14"/>
        <v>2031</v>
      </c>
      <c r="T77" t="s">
        <v>734</v>
      </c>
    </row>
    <row r="78" spans="1:21" ht="15" customHeight="1" x14ac:dyDescent="0.35">
      <c r="A78" s="180" t="s">
        <v>119</v>
      </c>
      <c r="B78" s="180" t="s">
        <v>379</v>
      </c>
      <c r="C78" s="180" t="s">
        <v>391</v>
      </c>
      <c r="D78" s="180" t="s">
        <v>392</v>
      </c>
      <c r="E78" s="180" t="s">
        <v>152</v>
      </c>
      <c r="F78" s="181" t="s">
        <v>245</v>
      </c>
      <c r="G78" s="180">
        <v>2022</v>
      </c>
      <c r="H78" s="181" t="s">
        <v>373</v>
      </c>
      <c r="I78" s="181" t="s">
        <v>80</v>
      </c>
      <c r="J78" s="181" t="s">
        <v>393</v>
      </c>
      <c r="K78" s="181"/>
      <c r="L78" s="180" t="s">
        <v>79</v>
      </c>
      <c r="M78" s="182" t="s">
        <v>148</v>
      </c>
      <c r="N78" s="182" t="s">
        <v>149</v>
      </c>
      <c r="O78" s="8" t="str">
        <f t="shared" si="10"/>
        <v>UTIM</v>
      </c>
      <c r="P78" s="8">
        <f t="shared" si="11"/>
        <v>4</v>
      </c>
      <c r="Q78" s="8">
        <f t="shared" si="12"/>
        <v>3</v>
      </c>
      <c r="R78" s="8">
        <f t="shared" si="13"/>
        <v>2026</v>
      </c>
      <c r="S78" s="8">
        <f t="shared" si="14"/>
        <v>2031</v>
      </c>
    </row>
    <row r="79" spans="1:21" ht="15" customHeight="1" x14ac:dyDescent="0.35">
      <c r="A79" s="180" t="s">
        <v>119</v>
      </c>
      <c r="B79" s="180" t="s">
        <v>379</v>
      </c>
      <c r="C79" s="180" t="s">
        <v>394</v>
      </c>
      <c r="D79" s="180" t="s">
        <v>395</v>
      </c>
      <c r="E79" s="180" t="s">
        <v>152</v>
      </c>
      <c r="F79" s="181" t="s">
        <v>245</v>
      </c>
      <c r="G79" s="180">
        <v>2022</v>
      </c>
      <c r="H79" s="181" t="s">
        <v>373</v>
      </c>
      <c r="I79" s="181" t="s">
        <v>80</v>
      </c>
      <c r="J79" s="181" t="s">
        <v>393</v>
      </c>
      <c r="K79" s="181"/>
      <c r="L79" s="180" t="s">
        <v>79</v>
      </c>
      <c r="M79" s="182" t="s">
        <v>148</v>
      </c>
      <c r="N79" s="182" t="s">
        <v>149</v>
      </c>
      <c r="O79" s="7" t="str">
        <f t="shared" si="10"/>
        <v>UTIM</v>
      </c>
      <c r="P79" s="7">
        <f t="shared" si="11"/>
        <v>4</v>
      </c>
      <c r="Q79" s="7">
        <f t="shared" si="12"/>
        <v>3</v>
      </c>
      <c r="R79" s="7">
        <f t="shared" si="13"/>
        <v>2026</v>
      </c>
      <c r="S79" s="7">
        <f t="shared" si="14"/>
        <v>2031</v>
      </c>
    </row>
    <row r="80" spans="1:21" ht="15" customHeight="1" x14ac:dyDescent="0.35">
      <c r="A80" s="186" t="s">
        <v>119</v>
      </c>
      <c r="B80" s="186" t="s">
        <v>277</v>
      </c>
      <c r="C80" s="186" t="s">
        <v>396</v>
      </c>
      <c r="D80" s="186" t="s">
        <v>397</v>
      </c>
      <c r="E80" s="186" t="s">
        <v>152</v>
      </c>
      <c r="F80" s="187" t="s">
        <v>272</v>
      </c>
      <c r="G80" s="186">
        <v>2022</v>
      </c>
      <c r="H80" s="187" t="s">
        <v>373</v>
      </c>
      <c r="I80" s="187" t="s">
        <v>107</v>
      </c>
      <c r="J80" s="187" t="s">
        <v>398</v>
      </c>
      <c r="K80" s="187"/>
      <c r="L80" s="186" t="s">
        <v>79</v>
      </c>
      <c r="M80" s="188" t="s">
        <v>76</v>
      </c>
      <c r="N80" s="188" t="s">
        <v>76</v>
      </c>
      <c r="O80" s="8" t="str">
        <f t="shared" si="10"/>
        <v>UTIM</v>
      </c>
      <c r="P80" s="8">
        <f t="shared" si="11"/>
        <v>4</v>
      </c>
      <c r="Q80" s="8">
        <f t="shared" si="12"/>
        <v>10</v>
      </c>
      <c r="R80" s="8">
        <f t="shared" si="13"/>
        <v>2033</v>
      </c>
      <c r="S80" s="8">
        <f t="shared" si="14"/>
        <v>2033</v>
      </c>
    </row>
    <row r="81" spans="1:19" ht="15" customHeight="1" x14ac:dyDescent="0.35">
      <c r="A81" s="180" t="s">
        <v>119</v>
      </c>
      <c r="B81" s="180" t="s">
        <v>379</v>
      </c>
      <c r="C81" s="180" t="s">
        <v>399</v>
      </c>
      <c r="D81" s="180" t="s">
        <v>400</v>
      </c>
      <c r="E81" s="180" t="s">
        <v>152</v>
      </c>
      <c r="F81" s="181" t="s">
        <v>272</v>
      </c>
      <c r="G81" s="180">
        <v>2022</v>
      </c>
      <c r="H81" s="181" t="s">
        <v>373</v>
      </c>
      <c r="I81" s="181" t="s">
        <v>107</v>
      </c>
      <c r="J81" s="181" t="s">
        <v>401</v>
      </c>
      <c r="K81" s="181"/>
      <c r="L81" s="180" t="s">
        <v>79</v>
      </c>
      <c r="M81" s="191" t="s">
        <v>82</v>
      </c>
      <c r="N81" s="191" t="s">
        <v>82</v>
      </c>
      <c r="O81" s="7" t="str">
        <f t="shared" si="10"/>
        <v>UTIM</v>
      </c>
      <c r="P81" s="7">
        <f t="shared" si="11"/>
        <v>4</v>
      </c>
      <c r="Q81" s="7">
        <f t="shared" si="12"/>
        <v>3</v>
      </c>
      <c r="R81" s="7">
        <f t="shared" si="13"/>
        <v>2026</v>
      </c>
      <c r="S81" s="7">
        <f t="shared" si="14"/>
        <v>2031</v>
      </c>
    </row>
    <row r="82" spans="1:19" ht="15" customHeight="1" x14ac:dyDescent="0.35">
      <c r="A82" s="180" t="s">
        <v>119</v>
      </c>
      <c r="B82" s="180" t="s">
        <v>379</v>
      </c>
      <c r="C82" s="180" t="s">
        <v>402</v>
      </c>
      <c r="D82" s="180" t="s">
        <v>403</v>
      </c>
      <c r="E82" s="180" t="s">
        <v>152</v>
      </c>
      <c r="F82" s="181" t="s">
        <v>245</v>
      </c>
      <c r="G82" s="180">
        <v>2023</v>
      </c>
      <c r="H82" s="181" t="s">
        <v>373</v>
      </c>
      <c r="I82" s="181" t="s">
        <v>80</v>
      </c>
      <c r="J82" s="181" t="s">
        <v>404</v>
      </c>
      <c r="K82" s="181"/>
      <c r="L82" s="180" t="s">
        <v>79</v>
      </c>
      <c r="M82" s="182" t="s">
        <v>148</v>
      </c>
      <c r="N82" s="182" t="s">
        <v>149</v>
      </c>
      <c r="O82" s="8" t="str">
        <f t="shared" si="10"/>
        <v>UTIM</v>
      </c>
      <c r="P82" s="8">
        <f t="shared" si="11"/>
        <v>3</v>
      </c>
      <c r="Q82" s="8">
        <f t="shared" si="12"/>
        <v>3</v>
      </c>
      <c r="R82" s="8">
        <f t="shared" si="13"/>
        <v>2027</v>
      </c>
      <c r="S82" s="8">
        <f t="shared" si="14"/>
        <v>2032</v>
      </c>
    </row>
    <row r="83" spans="1:19" ht="15" customHeight="1" x14ac:dyDescent="0.35">
      <c r="A83" s="180" t="s">
        <v>119</v>
      </c>
      <c r="B83" s="180" t="s">
        <v>379</v>
      </c>
      <c r="C83" s="180" t="s">
        <v>405</v>
      </c>
      <c r="D83" s="180" t="s">
        <v>406</v>
      </c>
      <c r="E83" s="180" t="s">
        <v>152</v>
      </c>
      <c r="F83" s="181" t="s">
        <v>268</v>
      </c>
      <c r="G83" s="180">
        <v>2023</v>
      </c>
      <c r="H83" s="181" t="s">
        <v>373</v>
      </c>
      <c r="I83" s="181" t="s">
        <v>80</v>
      </c>
      <c r="J83" s="181" t="s">
        <v>404</v>
      </c>
      <c r="K83" s="181"/>
      <c r="L83" s="180" t="s">
        <v>79</v>
      </c>
      <c r="M83" s="182" t="s">
        <v>148</v>
      </c>
      <c r="N83" s="182" t="s">
        <v>149</v>
      </c>
      <c r="O83" s="7" t="str">
        <f t="shared" si="10"/>
        <v>UTIM</v>
      </c>
      <c r="P83" s="7">
        <f t="shared" si="11"/>
        <v>3</v>
      </c>
      <c r="Q83" s="7">
        <f t="shared" si="12"/>
        <v>3</v>
      </c>
      <c r="R83" s="7">
        <f t="shared" si="13"/>
        <v>2027</v>
      </c>
      <c r="S83" s="7">
        <f t="shared" si="14"/>
        <v>2032</v>
      </c>
    </row>
    <row r="84" spans="1:19" ht="15" customHeight="1" x14ac:dyDescent="0.35">
      <c r="A84" s="180" t="s">
        <v>119</v>
      </c>
      <c r="B84" s="180" t="s">
        <v>379</v>
      </c>
      <c r="C84" s="180" t="s">
        <v>407</v>
      </c>
      <c r="D84" s="180" t="s">
        <v>408</v>
      </c>
      <c r="E84" s="180" t="s">
        <v>152</v>
      </c>
      <c r="F84" s="181" t="s">
        <v>268</v>
      </c>
      <c r="G84" s="180">
        <v>2024</v>
      </c>
      <c r="H84" s="181" t="s">
        <v>373</v>
      </c>
      <c r="I84" s="181" t="s">
        <v>80</v>
      </c>
      <c r="J84" s="181" t="s">
        <v>409</v>
      </c>
      <c r="K84" s="181"/>
      <c r="L84" s="180" t="s">
        <v>79</v>
      </c>
      <c r="M84" s="182" t="s">
        <v>148</v>
      </c>
      <c r="N84" s="182" t="s">
        <v>149</v>
      </c>
      <c r="O84" s="8" t="str">
        <f t="shared" si="10"/>
        <v>UTIM</v>
      </c>
      <c r="P84" s="8">
        <f t="shared" si="11"/>
        <v>2</v>
      </c>
      <c r="Q84" s="8">
        <f t="shared" si="12"/>
        <v>3</v>
      </c>
      <c r="R84" s="8">
        <f t="shared" si="13"/>
        <v>2028</v>
      </c>
      <c r="S84" s="8">
        <f t="shared" si="14"/>
        <v>2033</v>
      </c>
    </row>
    <row r="85" spans="1:19" ht="15" customHeight="1" x14ac:dyDescent="0.35">
      <c r="A85" s="180" t="s">
        <v>119</v>
      </c>
      <c r="B85" s="180" t="s">
        <v>379</v>
      </c>
      <c r="C85" s="180" t="s">
        <v>410</v>
      </c>
      <c r="D85" s="180" t="s">
        <v>411</v>
      </c>
      <c r="E85" s="180" t="s">
        <v>152</v>
      </c>
      <c r="F85" s="181" t="s">
        <v>245</v>
      </c>
      <c r="G85" s="180">
        <v>2024</v>
      </c>
      <c r="H85" s="181" t="s">
        <v>154</v>
      </c>
      <c r="I85" s="181" t="s">
        <v>80</v>
      </c>
      <c r="J85" s="181" t="s">
        <v>412</v>
      </c>
      <c r="K85" s="181"/>
      <c r="L85" s="180" t="s">
        <v>155</v>
      </c>
      <c r="M85" s="182" t="s">
        <v>148</v>
      </c>
      <c r="N85" s="182" t="s">
        <v>149</v>
      </c>
      <c r="O85" s="7" t="str">
        <f t="shared" si="10"/>
        <v>UTIM</v>
      </c>
      <c r="P85" s="7">
        <f t="shared" si="11"/>
        <v>2</v>
      </c>
      <c r="Q85" s="7">
        <f t="shared" si="12"/>
        <v>3</v>
      </c>
      <c r="R85" s="7">
        <f t="shared" si="13"/>
        <v>2028</v>
      </c>
      <c r="S85" s="7">
        <f t="shared" si="14"/>
        <v>2033</v>
      </c>
    </row>
    <row r="86" spans="1:19" ht="15" customHeight="1" x14ac:dyDescent="0.35">
      <c r="A86" s="180" t="s">
        <v>119</v>
      </c>
      <c r="B86" s="180" t="s">
        <v>379</v>
      </c>
      <c r="C86" s="180" t="s">
        <v>413</v>
      </c>
      <c r="D86" s="180" t="s">
        <v>414</v>
      </c>
      <c r="E86" s="180" t="s">
        <v>152</v>
      </c>
      <c r="F86" s="181" t="s">
        <v>268</v>
      </c>
      <c r="G86" s="180">
        <v>2024</v>
      </c>
      <c r="H86" s="181" t="s">
        <v>373</v>
      </c>
      <c r="I86" s="181" t="s">
        <v>80</v>
      </c>
      <c r="J86" s="181" t="s">
        <v>415</v>
      </c>
      <c r="K86" s="181"/>
      <c r="L86" s="180" t="s">
        <v>79</v>
      </c>
      <c r="M86" s="182" t="s">
        <v>148</v>
      </c>
      <c r="N86" s="182" t="s">
        <v>149</v>
      </c>
      <c r="O86" s="8" t="str">
        <f t="shared" si="10"/>
        <v>UTIM</v>
      </c>
      <c r="P86" s="8">
        <f t="shared" si="11"/>
        <v>2</v>
      </c>
      <c r="Q86" s="8">
        <f t="shared" si="12"/>
        <v>3</v>
      </c>
      <c r="R86" s="8">
        <f t="shared" si="13"/>
        <v>2028</v>
      </c>
      <c r="S86" s="8">
        <f t="shared" si="14"/>
        <v>2033</v>
      </c>
    </row>
    <row r="87" spans="1:19" ht="15" customHeight="1" x14ac:dyDescent="0.35">
      <c r="A87" s="180" t="s">
        <v>119</v>
      </c>
      <c r="B87" s="180" t="s">
        <v>379</v>
      </c>
      <c r="C87" s="180" t="s">
        <v>416</v>
      </c>
      <c r="D87" s="180" t="s">
        <v>417</v>
      </c>
      <c r="E87" s="180" t="s">
        <v>152</v>
      </c>
      <c r="F87" s="181" t="s">
        <v>268</v>
      </c>
      <c r="G87" s="180">
        <v>2024</v>
      </c>
      <c r="H87" s="181" t="s">
        <v>373</v>
      </c>
      <c r="I87" s="181" t="s">
        <v>80</v>
      </c>
      <c r="J87" s="181" t="s">
        <v>404</v>
      </c>
      <c r="K87" s="181"/>
      <c r="L87" s="180" t="s">
        <v>79</v>
      </c>
      <c r="M87" s="182" t="s">
        <v>148</v>
      </c>
      <c r="N87" s="182" t="s">
        <v>149</v>
      </c>
      <c r="O87" s="7" t="str">
        <f t="shared" si="10"/>
        <v>UTIM</v>
      </c>
      <c r="P87" s="7">
        <f t="shared" si="11"/>
        <v>2</v>
      </c>
      <c r="Q87" s="7">
        <f t="shared" si="12"/>
        <v>3</v>
      </c>
      <c r="R87" s="7">
        <f t="shared" si="13"/>
        <v>2028</v>
      </c>
      <c r="S87" s="7">
        <f t="shared" si="14"/>
        <v>2033</v>
      </c>
    </row>
    <row r="88" spans="1:19" ht="15" customHeight="1" x14ac:dyDescent="0.35">
      <c r="A88" s="180" t="s">
        <v>119</v>
      </c>
      <c r="B88" s="180" t="s">
        <v>379</v>
      </c>
      <c r="C88" s="180" t="s">
        <v>418</v>
      </c>
      <c r="D88" s="180" t="s">
        <v>419</v>
      </c>
      <c r="E88" s="180" t="s">
        <v>152</v>
      </c>
      <c r="F88" s="181" t="s">
        <v>268</v>
      </c>
      <c r="G88" s="180">
        <v>2024</v>
      </c>
      <c r="H88" s="181" t="s">
        <v>373</v>
      </c>
      <c r="I88" s="181" t="s">
        <v>80</v>
      </c>
      <c r="J88" s="181" t="s">
        <v>404</v>
      </c>
      <c r="K88" s="181"/>
      <c r="L88" s="180" t="s">
        <v>79</v>
      </c>
      <c r="M88" s="182" t="s">
        <v>148</v>
      </c>
      <c r="N88" s="182" t="s">
        <v>149</v>
      </c>
      <c r="O88" s="8" t="str">
        <f t="shared" si="10"/>
        <v>UTIM</v>
      </c>
      <c r="P88" s="8">
        <f t="shared" si="11"/>
        <v>2</v>
      </c>
      <c r="Q88" s="8">
        <f t="shared" si="12"/>
        <v>3</v>
      </c>
      <c r="R88" s="8">
        <f t="shared" si="13"/>
        <v>2028</v>
      </c>
      <c r="S88" s="8">
        <f t="shared" si="14"/>
        <v>2033</v>
      </c>
    </row>
    <row r="89" spans="1:19" ht="15" customHeight="1" x14ac:dyDescent="0.35">
      <c r="A89" s="268" t="s">
        <v>119</v>
      </c>
      <c r="B89" s="268" t="s">
        <v>379</v>
      </c>
      <c r="C89" s="268" t="s">
        <v>420</v>
      </c>
      <c r="D89" s="268" t="s">
        <v>421</v>
      </c>
      <c r="E89" s="268" t="s">
        <v>152</v>
      </c>
      <c r="F89" s="283" t="s">
        <v>268</v>
      </c>
      <c r="G89" s="268">
        <v>2024</v>
      </c>
      <c r="H89" s="283" t="s">
        <v>373</v>
      </c>
      <c r="I89" s="283" t="s">
        <v>80</v>
      </c>
      <c r="J89" s="283" t="s">
        <v>404</v>
      </c>
      <c r="K89" s="283"/>
      <c r="L89" s="268" t="s">
        <v>79</v>
      </c>
      <c r="M89" s="282" t="s">
        <v>148</v>
      </c>
      <c r="N89" s="282" t="s">
        <v>149</v>
      </c>
      <c r="O89" s="8" t="str">
        <f t="shared" si="10"/>
        <v>UTIM</v>
      </c>
      <c r="P89" s="8">
        <f t="shared" si="11"/>
        <v>2</v>
      </c>
      <c r="Q89" s="8">
        <f t="shared" si="12"/>
        <v>3</v>
      </c>
      <c r="R89" s="8">
        <f t="shared" si="13"/>
        <v>2028</v>
      </c>
      <c r="S89" s="8">
        <f t="shared" si="14"/>
        <v>2033</v>
      </c>
    </row>
    <row r="90" spans="1:19" ht="15" customHeight="1" x14ac:dyDescent="0.35">
      <c r="A90" s="180" t="s">
        <v>119</v>
      </c>
      <c r="B90" s="180" t="s">
        <v>379</v>
      </c>
      <c r="C90" s="180" t="s">
        <v>422</v>
      </c>
      <c r="D90" s="180" t="s">
        <v>423</v>
      </c>
      <c r="E90" s="180" t="s">
        <v>152</v>
      </c>
      <c r="F90" s="181" t="s">
        <v>268</v>
      </c>
      <c r="G90" s="180">
        <v>2025</v>
      </c>
      <c r="H90" s="181" t="s">
        <v>424</v>
      </c>
      <c r="I90" s="181" t="s">
        <v>80</v>
      </c>
      <c r="J90" s="181" t="s">
        <v>425</v>
      </c>
      <c r="K90" s="181"/>
      <c r="L90" s="180" t="s">
        <v>155</v>
      </c>
      <c r="M90" s="182" t="s">
        <v>76</v>
      </c>
      <c r="N90" s="182" t="s">
        <v>76</v>
      </c>
      <c r="O90" s="8" t="str">
        <f t="shared" si="10"/>
        <v>UTIM</v>
      </c>
      <c r="P90" s="8">
        <f t="shared" si="11"/>
        <v>1</v>
      </c>
      <c r="Q90" s="8">
        <f t="shared" si="12"/>
        <v>3</v>
      </c>
      <c r="R90" s="8">
        <f t="shared" si="13"/>
        <v>2029</v>
      </c>
      <c r="S90" s="8">
        <f t="shared" si="14"/>
        <v>2034</v>
      </c>
    </row>
    <row r="91" spans="1:19" ht="15" customHeight="1" x14ac:dyDescent="0.35">
      <c r="A91" s="180" t="s">
        <v>119</v>
      </c>
      <c r="B91" s="180" t="s">
        <v>379</v>
      </c>
      <c r="C91" s="180" t="s">
        <v>426</v>
      </c>
      <c r="D91" s="180" t="s">
        <v>427</v>
      </c>
      <c r="E91" s="180" t="s">
        <v>152</v>
      </c>
      <c r="F91" s="181" t="s">
        <v>268</v>
      </c>
      <c r="G91" s="180">
        <v>2025</v>
      </c>
      <c r="H91" s="181" t="s">
        <v>373</v>
      </c>
      <c r="I91" s="181" t="s">
        <v>80</v>
      </c>
      <c r="J91" s="181" t="s">
        <v>428</v>
      </c>
      <c r="K91" s="181"/>
      <c r="L91" s="180" t="s">
        <v>79</v>
      </c>
      <c r="M91" s="182" t="s">
        <v>148</v>
      </c>
      <c r="N91" s="182" t="s">
        <v>149</v>
      </c>
      <c r="O91" s="7" t="str">
        <f t="shared" si="10"/>
        <v>UTIM</v>
      </c>
      <c r="P91" s="7">
        <f t="shared" si="11"/>
        <v>1</v>
      </c>
      <c r="Q91" s="7">
        <f t="shared" si="12"/>
        <v>3</v>
      </c>
      <c r="R91" s="7">
        <f t="shared" si="13"/>
        <v>2029</v>
      </c>
      <c r="S91" s="7">
        <f t="shared" si="14"/>
        <v>2034</v>
      </c>
    </row>
    <row r="92" spans="1:19" ht="15" customHeight="1" x14ac:dyDescent="0.35">
      <c r="A92" s="180" t="s">
        <v>119</v>
      </c>
      <c r="B92" s="180" t="s">
        <v>379</v>
      </c>
      <c r="C92" s="180" t="s">
        <v>429</v>
      </c>
      <c r="D92" s="180" t="s">
        <v>430</v>
      </c>
      <c r="E92" s="180" t="s">
        <v>152</v>
      </c>
      <c r="F92" s="181" t="s">
        <v>268</v>
      </c>
      <c r="G92" s="180">
        <v>2025</v>
      </c>
      <c r="H92" s="181" t="s">
        <v>424</v>
      </c>
      <c r="I92" s="181" t="s">
        <v>80</v>
      </c>
      <c r="J92" s="181" t="s">
        <v>425</v>
      </c>
      <c r="K92" s="181"/>
      <c r="L92" s="180" t="s">
        <v>155</v>
      </c>
      <c r="M92" s="182" t="s">
        <v>76</v>
      </c>
      <c r="N92" s="182" t="s">
        <v>76</v>
      </c>
      <c r="O92" s="8" t="str">
        <f t="shared" si="10"/>
        <v>UTIM</v>
      </c>
      <c r="P92" s="8">
        <f t="shared" si="11"/>
        <v>1</v>
      </c>
      <c r="Q92" s="8">
        <f t="shared" si="12"/>
        <v>3</v>
      </c>
      <c r="R92" s="8">
        <f t="shared" si="13"/>
        <v>2029</v>
      </c>
      <c r="S92" s="8">
        <f t="shared" si="14"/>
        <v>2034</v>
      </c>
    </row>
    <row r="93" spans="1:19" ht="15" customHeight="1" x14ac:dyDescent="0.35">
      <c r="A93" s="180" t="s">
        <v>119</v>
      </c>
      <c r="B93" s="180" t="s">
        <v>379</v>
      </c>
      <c r="C93" s="180" t="s">
        <v>431</v>
      </c>
      <c r="D93" s="180" t="s">
        <v>432</v>
      </c>
      <c r="E93" s="180" t="s">
        <v>152</v>
      </c>
      <c r="F93" s="181" t="s">
        <v>268</v>
      </c>
      <c r="G93" s="180">
        <v>2025</v>
      </c>
      <c r="H93" s="181" t="s">
        <v>424</v>
      </c>
      <c r="I93" s="181" t="s">
        <v>80</v>
      </c>
      <c r="J93" s="181" t="s">
        <v>425</v>
      </c>
      <c r="K93" s="181"/>
      <c r="L93" s="180" t="s">
        <v>155</v>
      </c>
      <c r="M93" s="182" t="s">
        <v>76</v>
      </c>
      <c r="N93" s="182" t="s">
        <v>76</v>
      </c>
      <c r="O93" s="7" t="str">
        <f t="shared" si="10"/>
        <v>UTIM</v>
      </c>
      <c r="P93" s="7">
        <f t="shared" si="11"/>
        <v>1</v>
      </c>
      <c r="Q93" s="7">
        <f t="shared" si="12"/>
        <v>3</v>
      </c>
      <c r="R93" s="7">
        <f t="shared" si="13"/>
        <v>2029</v>
      </c>
      <c r="S93" s="7">
        <f t="shared" si="14"/>
        <v>2034</v>
      </c>
    </row>
    <row r="94" spans="1:19" ht="15" customHeight="1" x14ac:dyDescent="0.35">
      <c r="A94" s="180" t="s">
        <v>119</v>
      </c>
      <c r="B94" s="180" t="s">
        <v>379</v>
      </c>
      <c r="C94" s="180" t="s">
        <v>433</v>
      </c>
      <c r="D94" s="180" t="s">
        <v>434</v>
      </c>
      <c r="E94" s="180" t="s">
        <v>152</v>
      </c>
      <c r="F94" s="181" t="s">
        <v>268</v>
      </c>
      <c r="G94" s="180">
        <v>2025</v>
      </c>
      <c r="H94" s="181" t="s">
        <v>373</v>
      </c>
      <c r="I94" s="181" t="s">
        <v>80</v>
      </c>
      <c r="J94" s="181" t="s">
        <v>428</v>
      </c>
      <c r="K94" s="181"/>
      <c r="L94" s="180" t="s">
        <v>79</v>
      </c>
      <c r="M94" s="182" t="s">
        <v>148</v>
      </c>
      <c r="N94" s="182" t="s">
        <v>149</v>
      </c>
      <c r="O94" s="8" t="str">
        <f t="shared" si="10"/>
        <v>UTIM</v>
      </c>
      <c r="P94" s="8">
        <f t="shared" si="11"/>
        <v>1</v>
      </c>
      <c r="Q94" s="8">
        <f t="shared" si="12"/>
        <v>3</v>
      </c>
      <c r="R94" s="8">
        <f t="shared" si="13"/>
        <v>2029</v>
      </c>
      <c r="S94" s="8">
        <f t="shared" si="14"/>
        <v>2034</v>
      </c>
    </row>
    <row r="95" spans="1:19" ht="15" customHeight="1" x14ac:dyDescent="0.35">
      <c r="A95" s="180" t="s">
        <v>116</v>
      </c>
      <c r="B95" s="180" t="s">
        <v>310</v>
      </c>
      <c r="C95" s="180" t="s">
        <v>435</v>
      </c>
      <c r="D95" s="180" t="s">
        <v>436</v>
      </c>
      <c r="E95" s="180" t="s">
        <v>313</v>
      </c>
      <c r="F95" s="181" t="s">
        <v>437</v>
      </c>
      <c r="G95" s="180">
        <v>2019</v>
      </c>
      <c r="H95" s="181" t="s">
        <v>315</v>
      </c>
      <c r="I95" s="181"/>
      <c r="J95" s="181" t="s">
        <v>331</v>
      </c>
      <c r="K95" s="181"/>
      <c r="L95" s="180" t="s">
        <v>315</v>
      </c>
      <c r="M95" s="182" t="s">
        <v>148</v>
      </c>
      <c r="N95" s="182" t="s">
        <v>317</v>
      </c>
      <c r="O95" s="7" t="str">
        <f t="shared" si="10"/>
        <v>Logística</v>
      </c>
      <c r="P95" s="7">
        <f t="shared" si="11"/>
        <v>7</v>
      </c>
      <c r="Q95" s="7">
        <f t="shared" si="12"/>
        <v>10</v>
      </c>
      <c r="R95" s="7">
        <f t="shared" si="13"/>
        <v>2030</v>
      </c>
      <c r="S95" s="7">
        <f t="shared" si="14"/>
        <v>2030</v>
      </c>
    </row>
    <row r="96" spans="1:19" ht="15" customHeight="1" x14ac:dyDescent="0.35">
      <c r="A96" s="180" t="s">
        <v>116</v>
      </c>
      <c r="B96" s="180" t="s">
        <v>310</v>
      </c>
      <c r="C96" s="180" t="s">
        <v>438</v>
      </c>
      <c r="D96" s="180" t="s">
        <v>439</v>
      </c>
      <c r="E96" s="180" t="s">
        <v>313</v>
      </c>
      <c r="F96" s="181" t="s">
        <v>342</v>
      </c>
      <c r="G96" s="180">
        <v>2022</v>
      </c>
      <c r="H96" s="181" t="s">
        <v>315</v>
      </c>
      <c r="I96" s="181"/>
      <c r="J96" s="181" t="s">
        <v>440</v>
      </c>
      <c r="K96" s="181"/>
      <c r="L96" s="180" t="s">
        <v>315</v>
      </c>
      <c r="M96" s="182" t="s">
        <v>148</v>
      </c>
      <c r="N96" s="182" t="s">
        <v>149</v>
      </c>
      <c r="O96" s="8" t="str">
        <f t="shared" si="10"/>
        <v>Logística</v>
      </c>
      <c r="P96" s="8">
        <f t="shared" si="11"/>
        <v>4</v>
      </c>
      <c r="Q96" s="8">
        <f t="shared" si="12"/>
        <v>10</v>
      </c>
      <c r="R96" s="8">
        <f t="shared" si="13"/>
        <v>2033</v>
      </c>
      <c r="S96" s="8">
        <f t="shared" si="14"/>
        <v>2033</v>
      </c>
    </row>
    <row r="97" spans="1:19" ht="15" customHeight="1" x14ac:dyDescent="0.35">
      <c r="A97" s="186" t="s">
        <v>116</v>
      </c>
      <c r="B97" s="186" t="s">
        <v>277</v>
      </c>
      <c r="C97" s="186" t="s">
        <v>441</v>
      </c>
      <c r="D97" s="186" t="s">
        <v>442</v>
      </c>
      <c r="E97" s="186" t="s">
        <v>313</v>
      </c>
      <c r="F97" s="187" t="s">
        <v>342</v>
      </c>
      <c r="G97" s="186">
        <v>2022</v>
      </c>
      <c r="H97" s="187" t="s">
        <v>315</v>
      </c>
      <c r="I97" s="187"/>
      <c r="J97" s="187" t="s">
        <v>440</v>
      </c>
      <c r="K97" s="187"/>
      <c r="L97" s="186" t="s">
        <v>315</v>
      </c>
      <c r="M97" s="188" t="s">
        <v>148</v>
      </c>
      <c r="N97" s="188" t="s">
        <v>149</v>
      </c>
      <c r="O97" s="7" t="str">
        <f t="shared" ref="O97:O111" si="15">IF(ISNUMBER(SEARCH("UTIM",A97)),"UTIM","Logística")</f>
        <v>Logística</v>
      </c>
      <c r="P97" s="7">
        <f t="shared" ref="P97:P111" si="16">2026-G97</f>
        <v>4</v>
      </c>
      <c r="Q97" s="7">
        <f t="shared" ref="Q97:Q111" si="17">IF(I97="UCI","",IF(I97="VISTA OIL",5,IF(B97="Petróleo",8,IF(B97="Minería",3,10))))</f>
        <v>10</v>
      </c>
      <c r="R97" s="7">
        <f t="shared" ref="R97:R111" si="18">IF(Q97="","",G97+Q97+1)</f>
        <v>2033</v>
      </c>
      <c r="S97" s="7">
        <f t="shared" ref="S97:S111" si="19">IF(Q97="","",IF(AND(B97="Minería",P97&lt;=8),G97+8+1,R97))</f>
        <v>2033</v>
      </c>
    </row>
    <row r="98" spans="1:19" ht="15" customHeight="1" x14ac:dyDescent="0.35">
      <c r="A98" s="180" t="s">
        <v>116</v>
      </c>
      <c r="B98" s="180" t="s">
        <v>310</v>
      </c>
      <c r="C98" s="180" t="s">
        <v>443</v>
      </c>
      <c r="D98" s="180" t="s">
        <v>444</v>
      </c>
      <c r="E98" s="180" t="s">
        <v>313</v>
      </c>
      <c r="F98" s="181" t="s">
        <v>338</v>
      </c>
      <c r="G98" s="180">
        <v>2022</v>
      </c>
      <c r="H98" s="181" t="s">
        <v>315</v>
      </c>
      <c r="I98" s="181"/>
      <c r="J98" s="181" t="s">
        <v>445</v>
      </c>
      <c r="K98" s="181"/>
      <c r="L98" s="180" t="s">
        <v>315</v>
      </c>
      <c r="M98" s="182" t="s">
        <v>148</v>
      </c>
      <c r="N98" s="182" t="s">
        <v>149</v>
      </c>
      <c r="O98" s="8" t="str">
        <f t="shared" si="15"/>
        <v>Logística</v>
      </c>
      <c r="P98" s="8">
        <f t="shared" si="16"/>
        <v>4</v>
      </c>
      <c r="Q98" s="8">
        <f t="shared" si="17"/>
        <v>10</v>
      </c>
      <c r="R98" s="8">
        <f t="shared" si="18"/>
        <v>2033</v>
      </c>
      <c r="S98" s="8">
        <f t="shared" si="19"/>
        <v>2033</v>
      </c>
    </row>
    <row r="99" spans="1:19" ht="15" customHeight="1" x14ac:dyDescent="0.35">
      <c r="A99" s="180" t="s">
        <v>116</v>
      </c>
      <c r="B99" s="180" t="s">
        <v>310</v>
      </c>
      <c r="C99" s="180" t="s">
        <v>446</v>
      </c>
      <c r="D99" s="180" t="s">
        <v>447</v>
      </c>
      <c r="E99" s="180" t="s">
        <v>313</v>
      </c>
      <c r="F99" s="181" t="s">
        <v>359</v>
      </c>
      <c r="G99" s="180">
        <v>2023</v>
      </c>
      <c r="H99" s="181" t="s">
        <v>315</v>
      </c>
      <c r="I99" s="181"/>
      <c r="J99" s="181" t="s">
        <v>448</v>
      </c>
      <c r="K99" s="181"/>
      <c r="L99" s="180" t="s">
        <v>315</v>
      </c>
      <c r="M99" s="182" t="s">
        <v>148</v>
      </c>
      <c r="N99" s="182" t="s">
        <v>149</v>
      </c>
      <c r="O99" s="7" t="str">
        <f t="shared" si="15"/>
        <v>Logística</v>
      </c>
      <c r="P99" s="7">
        <f t="shared" si="16"/>
        <v>3</v>
      </c>
      <c r="Q99" s="7">
        <f t="shared" si="17"/>
        <v>10</v>
      </c>
      <c r="R99" s="7">
        <f t="shared" si="18"/>
        <v>2034</v>
      </c>
      <c r="S99" s="7">
        <f t="shared" si="19"/>
        <v>2034</v>
      </c>
    </row>
    <row r="100" spans="1:19" ht="15" customHeight="1" x14ac:dyDescent="0.35">
      <c r="A100" s="180" t="s">
        <v>116</v>
      </c>
      <c r="B100" s="180" t="s">
        <v>310</v>
      </c>
      <c r="C100" s="180" t="s">
        <v>449</v>
      </c>
      <c r="D100" s="180" t="s">
        <v>450</v>
      </c>
      <c r="E100" s="180" t="s">
        <v>313</v>
      </c>
      <c r="F100" s="181" t="s">
        <v>451</v>
      </c>
      <c r="G100" s="180">
        <v>2025</v>
      </c>
      <c r="H100" s="181" t="s">
        <v>315</v>
      </c>
      <c r="I100" s="181"/>
      <c r="J100" s="181" t="s">
        <v>452</v>
      </c>
      <c r="K100" s="181"/>
      <c r="L100" s="180" t="s">
        <v>315</v>
      </c>
      <c r="M100" s="182" t="s">
        <v>148</v>
      </c>
      <c r="N100" s="182" t="s">
        <v>149</v>
      </c>
      <c r="O100" s="8" t="str">
        <f t="shared" si="15"/>
        <v>Logística</v>
      </c>
      <c r="P100" s="8">
        <f t="shared" si="16"/>
        <v>1</v>
      </c>
      <c r="Q100" s="8">
        <f t="shared" si="17"/>
        <v>10</v>
      </c>
      <c r="R100" s="8">
        <f t="shared" si="18"/>
        <v>2036</v>
      </c>
      <c r="S100" s="8">
        <f t="shared" si="19"/>
        <v>2036</v>
      </c>
    </row>
    <row r="101" spans="1:19" ht="15" customHeight="1" x14ac:dyDescent="0.35">
      <c r="A101" s="186" t="s">
        <v>118</v>
      </c>
      <c r="B101" s="186" t="s">
        <v>277</v>
      </c>
      <c r="C101" s="186" t="s">
        <v>453</v>
      </c>
      <c r="D101" s="281" t="s">
        <v>454</v>
      </c>
      <c r="E101" s="186" t="s">
        <v>152</v>
      </c>
      <c r="F101" s="187" t="s">
        <v>455</v>
      </c>
      <c r="G101" s="186">
        <v>2017</v>
      </c>
      <c r="H101" s="187" t="s">
        <v>456</v>
      </c>
      <c r="I101" s="187" t="s">
        <v>107</v>
      </c>
      <c r="J101" s="187" t="s">
        <v>457</v>
      </c>
      <c r="K101" s="187"/>
      <c r="L101" s="186" t="s">
        <v>84</v>
      </c>
      <c r="M101" s="188" t="s">
        <v>76</v>
      </c>
      <c r="N101" s="188" t="s">
        <v>76</v>
      </c>
      <c r="O101" s="7" t="str">
        <f t="shared" si="15"/>
        <v>UTIM</v>
      </c>
      <c r="P101" s="7">
        <f t="shared" si="16"/>
        <v>9</v>
      </c>
      <c r="Q101" s="7">
        <f t="shared" si="17"/>
        <v>10</v>
      </c>
      <c r="R101" s="7">
        <f t="shared" si="18"/>
        <v>2028</v>
      </c>
      <c r="S101" s="7">
        <f t="shared" si="19"/>
        <v>2028</v>
      </c>
    </row>
    <row r="102" spans="1:19" ht="15" customHeight="1" x14ac:dyDescent="0.35">
      <c r="A102" s="180" t="s">
        <v>120</v>
      </c>
      <c r="B102" s="180" t="s">
        <v>379</v>
      </c>
      <c r="C102" s="180" t="s">
        <v>459</v>
      </c>
      <c r="D102" s="180" t="s">
        <v>460</v>
      </c>
      <c r="E102" s="180" t="s">
        <v>144</v>
      </c>
      <c r="F102" s="280" t="s">
        <v>461</v>
      </c>
      <c r="G102" s="180">
        <v>2017</v>
      </c>
      <c r="H102" s="181" t="s">
        <v>456</v>
      </c>
      <c r="I102" s="181" t="s">
        <v>120</v>
      </c>
      <c r="J102" s="181" t="s">
        <v>462</v>
      </c>
      <c r="K102" s="181"/>
      <c r="L102" s="180" t="s">
        <v>84</v>
      </c>
      <c r="M102" s="182" t="s">
        <v>148</v>
      </c>
      <c r="N102" s="182" t="s">
        <v>149</v>
      </c>
      <c r="O102" s="7" t="str">
        <f t="shared" si="15"/>
        <v>Logística</v>
      </c>
      <c r="P102" s="7">
        <f t="shared" si="16"/>
        <v>9</v>
      </c>
      <c r="Q102" s="7">
        <f t="shared" si="17"/>
        <v>3</v>
      </c>
      <c r="R102" s="7">
        <f t="shared" si="18"/>
        <v>2021</v>
      </c>
      <c r="S102" s="7">
        <f t="shared" si="19"/>
        <v>2021</v>
      </c>
    </row>
    <row r="103" spans="1:19" ht="15" customHeight="1" x14ac:dyDescent="0.35">
      <c r="A103" s="186" t="s">
        <v>118</v>
      </c>
      <c r="B103" s="186" t="s">
        <v>379</v>
      </c>
      <c r="C103" s="186" t="s">
        <v>463</v>
      </c>
      <c r="D103" s="186" t="s">
        <v>464</v>
      </c>
      <c r="E103" s="186" t="s">
        <v>152</v>
      </c>
      <c r="F103" s="187" t="s">
        <v>323</v>
      </c>
      <c r="G103" s="186">
        <v>2019</v>
      </c>
      <c r="H103" s="187" t="s">
        <v>456</v>
      </c>
      <c r="I103" s="187" t="s">
        <v>85</v>
      </c>
      <c r="J103" s="187" t="s">
        <v>465</v>
      </c>
      <c r="K103" s="187"/>
      <c r="L103" s="186" t="s">
        <v>84</v>
      </c>
      <c r="M103" s="188" t="s">
        <v>148</v>
      </c>
      <c r="N103" s="188" t="s">
        <v>149</v>
      </c>
      <c r="O103" s="8" t="str">
        <f t="shared" si="15"/>
        <v>UTIM</v>
      </c>
      <c r="P103" s="8">
        <f t="shared" si="16"/>
        <v>7</v>
      </c>
      <c r="Q103" s="8">
        <f t="shared" si="17"/>
        <v>3</v>
      </c>
      <c r="R103" s="8">
        <f t="shared" si="18"/>
        <v>2023</v>
      </c>
      <c r="S103" s="8">
        <f t="shared" si="19"/>
        <v>2028</v>
      </c>
    </row>
    <row r="104" spans="1:19" ht="15" customHeight="1" x14ac:dyDescent="0.35">
      <c r="A104" s="180" t="s">
        <v>118</v>
      </c>
      <c r="B104" s="180" t="s">
        <v>379</v>
      </c>
      <c r="C104" s="180" t="s">
        <v>466</v>
      </c>
      <c r="D104" s="180" t="s">
        <v>467</v>
      </c>
      <c r="E104" s="180" t="s">
        <v>152</v>
      </c>
      <c r="F104" s="181" t="s">
        <v>323</v>
      </c>
      <c r="G104" s="180">
        <v>2019</v>
      </c>
      <c r="H104" s="181" t="s">
        <v>468</v>
      </c>
      <c r="I104" s="181" t="s">
        <v>107</v>
      </c>
      <c r="J104" s="181" t="s">
        <v>107</v>
      </c>
      <c r="K104" s="181"/>
      <c r="L104" s="180" t="s">
        <v>469</v>
      </c>
      <c r="M104" s="182" t="s">
        <v>76</v>
      </c>
      <c r="N104" s="182" t="s">
        <v>76</v>
      </c>
      <c r="O104" s="7" t="str">
        <f t="shared" si="15"/>
        <v>UTIM</v>
      </c>
      <c r="P104" s="7">
        <f t="shared" si="16"/>
        <v>7</v>
      </c>
      <c r="Q104" s="7">
        <f t="shared" si="17"/>
        <v>3</v>
      </c>
      <c r="R104" s="7">
        <f t="shared" si="18"/>
        <v>2023</v>
      </c>
      <c r="S104" s="7">
        <f t="shared" si="19"/>
        <v>2028</v>
      </c>
    </row>
    <row r="105" spans="1:19" ht="15" customHeight="1" x14ac:dyDescent="0.35">
      <c r="A105" s="180" t="s">
        <v>118</v>
      </c>
      <c r="B105" s="180" t="s">
        <v>379</v>
      </c>
      <c r="C105" s="180" t="s">
        <v>470</v>
      </c>
      <c r="D105" s="180" t="s">
        <v>471</v>
      </c>
      <c r="E105" s="180" t="s">
        <v>152</v>
      </c>
      <c r="F105" s="181" t="s">
        <v>182</v>
      </c>
      <c r="G105" s="180">
        <v>2019</v>
      </c>
      <c r="H105" s="181" t="s">
        <v>468</v>
      </c>
      <c r="I105" s="181" t="s">
        <v>713</v>
      </c>
      <c r="J105" s="181" t="s">
        <v>472</v>
      </c>
      <c r="K105" s="181"/>
      <c r="L105" s="180" t="s">
        <v>469</v>
      </c>
      <c r="M105" s="182" t="s">
        <v>148</v>
      </c>
      <c r="N105" s="182" t="s">
        <v>149</v>
      </c>
      <c r="O105" s="8" t="str">
        <f t="shared" si="15"/>
        <v>UTIM</v>
      </c>
      <c r="P105" s="8">
        <f t="shared" si="16"/>
        <v>7</v>
      </c>
      <c r="Q105" s="8">
        <f t="shared" si="17"/>
        <v>3</v>
      </c>
      <c r="R105" s="8">
        <f t="shared" si="18"/>
        <v>2023</v>
      </c>
      <c r="S105" s="8">
        <f t="shared" si="19"/>
        <v>2028</v>
      </c>
    </row>
    <row r="106" spans="1:19" ht="15" customHeight="1" x14ac:dyDescent="0.35">
      <c r="A106" s="180" t="s">
        <v>118</v>
      </c>
      <c r="B106" s="180" t="s">
        <v>379</v>
      </c>
      <c r="C106" s="180" t="s">
        <v>142</v>
      </c>
      <c r="D106" s="180" t="s">
        <v>473</v>
      </c>
      <c r="E106" s="180" t="s">
        <v>152</v>
      </c>
      <c r="F106" s="181" t="s">
        <v>455</v>
      </c>
      <c r="G106" s="180">
        <v>2023</v>
      </c>
      <c r="H106" s="181" t="s">
        <v>456</v>
      </c>
      <c r="I106" s="181" t="s">
        <v>85</v>
      </c>
      <c r="J106" s="181" t="s">
        <v>474</v>
      </c>
      <c r="K106" s="181"/>
      <c r="L106" s="180" t="s">
        <v>84</v>
      </c>
      <c r="M106" s="182" t="s">
        <v>148</v>
      </c>
      <c r="N106" s="182" t="s">
        <v>149</v>
      </c>
      <c r="O106" s="7" t="str">
        <f t="shared" si="15"/>
        <v>UTIM</v>
      </c>
      <c r="P106" s="7">
        <f t="shared" si="16"/>
        <v>3</v>
      </c>
      <c r="Q106" s="7">
        <f t="shared" si="17"/>
        <v>3</v>
      </c>
      <c r="R106" s="7">
        <f t="shared" si="18"/>
        <v>2027</v>
      </c>
      <c r="S106" s="7">
        <f t="shared" si="19"/>
        <v>2032</v>
      </c>
    </row>
    <row r="107" spans="1:19" ht="15" customHeight="1" x14ac:dyDescent="0.35">
      <c r="A107" s="180" t="s">
        <v>118</v>
      </c>
      <c r="B107" s="180" t="s">
        <v>379</v>
      </c>
      <c r="C107" s="180" t="s">
        <v>142</v>
      </c>
      <c r="D107" s="180" t="s">
        <v>475</v>
      </c>
      <c r="E107" s="180" t="s">
        <v>152</v>
      </c>
      <c r="F107" s="181" t="s">
        <v>455</v>
      </c>
      <c r="G107" s="180">
        <v>2023</v>
      </c>
      <c r="H107" s="181" t="s">
        <v>456</v>
      </c>
      <c r="I107" s="181" t="s">
        <v>85</v>
      </c>
      <c r="J107" s="181" t="s">
        <v>474</v>
      </c>
      <c r="K107" s="181"/>
      <c r="L107" s="180" t="s">
        <v>84</v>
      </c>
      <c r="M107" s="182" t="s">
        <v>148</v>
      </c>
      <c r="N107" s="182" t="s">
        <v>149</v>
      </c>
      <c r="O107" s="8" t="str">
        <f t="shared" si="15"/>
        <v>UTIM</v>
      </c>
      <c r="P107" s="8">
        <f t="shared" si="16"/>
        <v>3</v>
      </c>
      <c r="Q107" s="8">
        <f t="shared" si="17"/>
        <v>3</v>
      </c>
      <c r="R107" s="8">
        <f t="shared" si="18"/>
        <v>2027</v>
      </c>
      <c r="S107" s="8">
        <f t="shared" si="19"/>
        <v>2032</v>
      </c>
    </row>
    <row r="108" spans="1:19" ht="15" customHeight="1" x14ac:dyDescent="0.35">
      <c r="A108" s="180" t="s">
        <v>118</v>
      </c>
      <c r="B108" s="180" t="s">
        <v>379</v>
      </c>
      <c r="C108" s="180" t="s">
        <v>476</v>
      </c>
      <c r="D108" s="180" t="s">
        <v>477</v>
      </c>
      <c r="E108" s="180" t="s">
        <v>152</v>
      </c>
      <c r="F108" s="181" t="s">
        <v>245</v>
      </c>
      <c r="G108" s="180">
        <v>2024</v>
      </c>
      <c r="H108" s="181" t="s">
        <v>456</v>
      </c>
      <c r="I108" s="181" t="s">
        <v>85</v>
      </c>
      <c r="J108" s="181" t="s">
        <v>478</v>
      </c>
      <c r="K108" s="181"/>
      <c r="L108" s="180" t="s">
        <v>84</v>
      </c>
      <c r="M108" s="182" t="s">
        <v>148</v>
      </c>
      <c r="N108" s="182" t="s">
        <v>149</v>
      </c>
      <c r="O108" s="7" t="str">
        <f t="shared" si="15"/>
        <v>UTIM</v>
      </c>
      <c r="P108" s="7">
        <f t="shared" si="16"/>
        <v>2</v>
      </c>
      <c r="Q108" s="7">
        <f t="shared" si="17"/>
        <v>3</v>
      </c>
      <c r="R108" s="7">
        <f t="shared" si="18"/>
        <v>2028</v>
      </c>
      <c r="S108" s="7">
        <f t="shared" si="19"/>
        <v>2033</v>
      </c>
    </row>
    <row r="109" spans="1:19" ht="15" customHeight="1" x14ac:dyDescent="0.35">
      <c r="A109" s="186" t="s">
        <v>118</v>
      </c>
      <c r="B109" s="186" t="s">
        <v>379</v>
      </c>
      <c r="C109" s="186" t="s">
        <v>479</v>
      </c>
      <c r="D109" s="186" t="s">
        <v>480</v>
      </c>
      <c r="E109" s="186" t="s">
        <v>152</v>
      </c>
      <c r="F109" s="187" t="s">
        <v>268</v>
      </c>
      <c r="G109" s="186">
        <v>2025</v>
      </c>
      <c r="H109" s="187" t="s">
        <v>424</v>
      </c>
      <c r="I109" s="187" t="s">
        <v>481</v>
      </c>
      <c r="J109" s="187" t="s">
        <v>481</v>
      </c>
      <c r="K109" s="187"/>
      <c r="L109" s="186" t="s">
        <v>155</v>
      </c>
      <c r="M109" s="188" t="s">
        <v>148</v>
      </c>
      <c r="N109" s="188" t="s">
        <v>149</v>
      </c>
      <c r="O109" s="8" t="str">
        <f t="shared" si="15"/>
        <v>UTIM</v>
      </c>
      <c r="P109" s="8">
        <f t="shared" si="16"/>
        <v>1</v>
      </c>
      <c r="Q109" s="8">
        <f t="shared" si="17"/>
        <v>3</v>
      </c>
      <c r="R109" s="8">
        <f t="shared" si="18"/>
        <v>2029</v>
      </c>
      <c r="S109" s="8">
        <f t="shared" si="19"/>
        <v>2034</v>
      </c>
    </row>
    <row r="110" spans="1:19" ht="15" customHeight="1" x14ac:dyDescent="0.35">
      <c r="A110" s="180" t="s">
        <v>115</v>
      </c>
      <c r="B110" s="180" t="s">
        <v>310</v>
      </c>
      <c r="C110" s="180" t="s">
        <v>482</v>
      </c>
      <c r="D110" s="180" t="s">
        <v>483</v>
      </c>
      <c r="E110" s="180" t="s">
        <v>313</v>
      </c>
      <c r="F110" s="181" t="s">
        <v>353</v>
      </c>
      <c r="G110" s="180">
        <v>2024</v>
      </c>
      <c r="H110" s="181" t="s">
        <v>315</v>
      </c>
      <c r="I110" s="181"/>
      <c r="J110" s="181" t="s">
        <v>484</v>
      </c>
      <c r="K110" s="181"/>
      <c r="L110" s="180" t="s">
        <v>315</v>
      </c>
      <c r="M110" s="182" t="s">
        <v>148</v>
      </c>
      <c r="N110" s="182" t="s">
        <v>317</v>
      </c>
      <c r="O110" s="7" t="str">
        <f t="shared" si="15"/>
        <v>Logística</v>
      </c>
      <c r="P110" s="7">
        <f t="shared" si="16"/>
        <v>2</v>
      </c>
      <c r="Q110" s="7">
        <f t="shared" si="17"/>
        <v>10</v>
      </c>
      <c r="R110" s="7">
        <f t="shared" si="18"/>
        <v>2035</v>
      </c>
      <c r="S110" s="7">
        <f t="shared" si="19"/>
        <v>2035</v>
      </c>
    </row>
    <row r="111" spans="1:19" ht="15" customHeight="1" x14ac:dyDescent="0.35">
      <c r="A111" s="180" t="s">
        <v>115</v>
      </c>
      <c r="B111" s="180" t="s">
        <v>310</v>
      </c>
      <c r="C111" s="180" t="s">
        <v>485</v>
      </c>
      <c r="D111" s="180" t="s">
        <v>486</v>
      </c>
      <c r="E111" s="180" t="s">
        <v>313</v>
      </c>
      <c r="F111" s="181" t="s">
        <v>353</v>
      </c>
      <c r="G111" s="180">
        <v>2025</v>
      </c>
      <c r="H111" s="181" t="s">
        <v>315</v>
      </c>
      <c r="I111" s="181"/>
      <c r="J111" s="181" t="s">
        <v>484</v>
      </c>
      <c r="K111" s="181"/>
      <c r="L111" s="180" t="s">
        <v>315</v>
      </c>
      <c r="M111" s="182" t="s">
        <v>148</v>
      </c>
      <c r="N111" s="182" t="s">
        <v>317</v>
      </c>
      <c r="O111" s="8" t="str">
        <f t="shared" si="15"/>
        <v>Logística</v>
      </c>
      <c r="P111" s="8">
        <f t="shared" si="16"/>
        <v>1</v>
      </c>
      <c r="Q111" s="8">
        <f t="shared" si="17"/>
        <v>10</v>
      </c>
      <c r="R111" s="8">
        <f t="shared" si="18"/>
        <v>2036</v>
      </c>
      <c r="S111" s="8">
        <f t="shared" si="19"/>
        <v>2036</v>
      </c>
    </row>
  </sheetData>
  <mergeCells count="1">
    <mergeCell ref="A1:N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showGridLines="0" workbookViewId="0">
      <selection activeCell="F5" sqref="F5"/>
    </sheetView>
  </sheetViews>
  <sheetFormatPr baseColWidth="10" defaultColWidth="8.81640625" defaultRowHeight="14.5" x14ac:dyDescent="0.35"/>
  <cols>
    <col min="1" max="1" width="20" customWidth="1"/>
    <col min="2" max="2" width="9" customWidth="1"/>
    <col min="3" max="3" width="11" customWidth="1"/>
    <col min="4" max="4" width="12" customWidth="1"/>
    <col min="5" max="5" width="9" customWidth="1"/>
    <col min="6" max="7" width="10" customWidth="1"/>
  </cols>
  <sheetData>
    <row r="1" spans="1:14" ht="26.15" customHeight="1" x14ac:dyDescent="0.35">
      <c r="A1" s="385" t="s">
        <v>487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</row>
    <row r="3" spans="1:14" ht="20.149999999999999" customHeight="1" x14ac:dyDescent="0.35">
      <c r="A3" s="382" t="s">
        <v>488</v>
      </c>
      <c r="B3" s="339"/>
      <c r="C3" s="339"/>
      <c r="D3" s="339"/>
      <c r="E3" s="339"/>
      <c r="F3" s="339"/>
      <c r="G3" s="339"/>
    </row>
    <row r="4" spans="1:14" ht="18" customHeight="1" x14ac:dyDescent="0.35">
      <c r="A4" s="192" t="s">
        <v>489</v>
      </c>
      <c r="B4" s="192" t="s">
        <v>66</v>
      </c>
      <c r="C4" s="192" t="s">
        <v>148</v>
      </c>
      <c r="D4" s="192" t="s">
        <v>77</v>
      </c>
      <c r="E4" s="192" t="s">
        <v>76</v>
      </c>
      <c r="F4" s="192" t="s">
        <v>82</v>
      </c>
      <c r="G4" s="192" t="s">
        <v>490</v>
      </c>
    </row>
    <row r="5" spans="1:14" ht="16" customHeight="1" x14ac:dyDescent="0.35">
      <c r="A5" s="172">
        <v>2017</v>
      </c>
      <c r="B5" s="173">
        <f>COUNTIF(TablaMóviles[Año],$A5)</f>
        <v>13</v>
      </c>
      <c r="C5" s="173">
        <f>COUNTIFS(TablaMóviles[Año],$A5,TablaMóviles[Estado],C$4)</f>
        <v>7</v>
      </c>
      <c r="D5" s="173">
        <f>COUNTIFS(TablaMóviles[Año],$A5,TablaMóviles[Estado],D$4)</f>
        <v>0</v>
      </c>
      <c r="E5" s="173">
        <f>COUNTIFS(TablaMóviles[Año],$A5,TablaMóviles[Estado],E$4)</f>
        <v>3</v>
      </c>
      <c r="F5" s="173">
        <f>COUNTIFS(TablaMóviles[Año],$A5,TablaMóviles[Estado],F$4)</f>
        <v>3</v>
      </c>
      <c r="G5" s="174">
        <f>IFERROR(D5/B5,0)</f>
        <v>0</v>
      </c>
    </row>
    <row r="6" spans="1:14" ht="16" customHeight="1" x14ac:dyDescent="0.35">
      <c r="A6" s="175">
        <v>2018</v>
      </c>
      <c r="B6" s="173">
        <f>COUNTIF(TablaMóviles[Año],$A6)</f>
        <v>3</v>
      </c>
      <c r="C6" s="173">
        <f>COUNTIFS(TablaMóviles[Año],$A6,TablaMóviles[Estado],C$4)</f>
        <v>1</v>
      </c>
      <c r="D6" s="173">
        <f>COUNTIFS(TablaMóviles[Año],$A6,TablaMóviles[Estado],D$4)</f>
        <v>0</v>
      </c>
      <c r="E6" s="173">
        <f>COUNTIFS(TablaMóviles[Año],$A6,TablaMóviles[Estado],E$4)</f>
        <v>2</v>
      </c>
      <c r="F6" s="173">
        <f>COUNTIFS(TablaMóviles[Año],$A6,TablaMóviles[Estado],F$4)</f>
        <v>0</v>
      </c>
      <c r="G6" s="174">
        <f t="shared" ref="G6:G12" si="0">IFERROR(D6/B6,0)</f>
        <v>0</v>
      </c>
    </row>
    <row r="7" spans="1:14" ht="16" customHeight="1" x14ac:dyDescent="0.35">
      <c r="A7" s="172">
        <v>2019</v>
      </c>
      <c r="B7" s="173">
        <f>COUNTIF(TablaMóviles[Año],$A7)</f>
        <v>26</v>
      </c>
      <c r="C7" s="173">
        <f>COUNTIFS(TablaMóviles[Año],$A7,TablaMóviles[Estado],C$4)</f>
        <v>21</v>
      </c>
      <c r="D7" s="173">
        <f>COUNTIFS(TablaMóviles[Año],$A7,TablaMóviles[Estado],D$4)</f>
        <v>0</v>
      </c>
      <c r="E7" s="173">
        <f>COUNTIFS(TablaMóviles[Año],$A7,TablaMóviles[Estado],E$4)</f>
        <v>4</v>
      </c>
      <c r="F7" s="173">
        <f>COUNTIFS(TablaMóviles[Año],$A7,TablaMóviles[Estado],F$4)</f>
        <v>1</v>
      </c>
      <c r="G7" s="174">
        <f t="shared" si="0"/>
        <v>0</v>
      </c>
    </row>
    <row r="8" spans="1:14" ht="16" customHeight="1" x14ac:dyDescent="0.35">
      <c r="A8" s="175">
        <v>2021</v>
      </c>
      <c r="B8" s="173">
        <f>COUNTIF(TablaMóviles[Año],$A8)</f>
        <v>1</v>
      </c>
      <c r="C8" s="173">
        <f>COUNTIFS(TablaMóviles[Año],$A8,TablaMóviles[Estado],C$4)</f>
        <v>1</v>
      </c>
      <c r="D8" s="173">
        <f>COUNTIFS(TablaMóviles[Año],$A8,TablaMóviles[Estado],D$4)</f>
        <v>0</v>
      </c>
      <c r="E8" s="173">
        <f>COUNTIFS(TablaMóviles[Año],$A8,TablaMóviles[Estado],E$4)</f>
        <v>0</v>
      </c>
      <c r="F8" s="173">
        <f>COUNTIFS(TablaMóviles[Año],$A8,TablaMóviles[Estado],F$4)</f>
        <v>0</v>
      </c>
      <c r="G8" s="174">
        <f t="shared" si="0"/>
        <v>0</v>
      </c>
    </row>
    <row r="9" spans="1:14" ht="16" customHeight="1" x14ac:dyDescent="0.35">
      <c r="A9" s="172">
        <v>2022</v>
      </c>
      <c r="B9" s="173">
        <f>COUNTIF(TablaMóviles[Año],$A9)</f>
        <v>15</v>
      </c>
      <c r="C9" s="173">
        <f>COUNTIFS(TablaMóviles[Año],$A9,TablaMóviles[Estado],C$4)</f>
        <v>11</v>
      </c>
      <c r="D9" s="173">
        <f>COUNTIFS(TablaMóviles[Año],$A9,TablaMóviles[Estado],D$4)</f>
        <v>0</v>
      </c>
      <c r="E9" s="173">
        <f>COUNTIFS(TablaMóviles[Año],$A9,TablaMóviles[Estado],E$4)</f>
        <v>2</v>
      </c>
      <c r="F9" s="173">
        <f>COUNTIFS(TablaMóviles[Año],$A9,TablaMóviles[Estado],F$4)</f>
        <v>2</v>
      </c>
      <c r="G9" s="174">
        <f t="shared" si="0"/>
        <v>0</v>
      </c>
    </row>
    <row r="10" spans="1:14" ht="16" customHeight="1" x14ac:dyDescent="0.35">
      <c r="A10" s="175">
        <v>2023</v>
      </c>
      <c r="B10" s="173">
        <f>COUNTIF(TablaMóviles[Año],$A10)</f>
        <v>19</v>
      </c>
      <c r="C10" s="173">
        <f>COUNTIFS(TablaMóviles[Año],$A10,TablaMóviles[Estado],C$4)</f>
        <v>17</v>
      </c>
      <c r="D10" s="173">
        <f>COUNTIFS(TablaMóviles[Año],$A10,TablaMóviles[Estado],D$4)</f>
        <v>0</v>
      </c>
      <c r="E10" s="173">
        <f>COUNTIFS(TablaMóviles[Año],$A10,TablaMóviles[Estado],E$4)</f>
        <v>2</v>
      </c>
      <c r="F10" s="173">
        <f>COUNTIFS(TablaMóviles[Año],$A10,TablaMóviles[Estado],F$4)</f>
        <v>0</v>
      </c>
      <c r="G10" s="174">
        <f t="shared" si="0"/>
        <v>0</v>
      </c>
    </row>
    <row r="11" spans="1:14" ht="16" customHeight="1" x14ac:dyDescent="0.35">
      <c r="A11" s="172">
        <v>2024</v>
      </c>
      <c r="B11" s="173">
        <f>COUNTIF(TablaMóviles[Año],$A11)</f>
        <v>21</v>
      </c>
      <c r="C11" s="173">
        <f>COUNTIFS(TablaMóviles[Año],$A11,TablaMóviles[Estado],C$4)</f>
        <v>20</v>
      </c>
      <c r="D11" s="173">
        <f>COUNTIFS(TablaMóviles[Año],$A11,TablaMóviles[Estado],D$4)</f>
        <v>0</v>
      </c>
      <c r="E11" s="173">
        <f>COUNTIFS(TablaMóviles[Año],$A11,TablaMóviles[Estado],E$4)</f>
        <v>1</v>
      </c>
      <c r="F11" s="173">
        <f>COUNTIFS(TablaMóviles[Año],$A11,TablaMóviles[Estado],F$4)</f>
        <v>0</v>
      </c>
      <c r="G11" s="174">
        <f t="shared" si="0"/>
        <v>0</v>
      </c>
    </row>
    <row r="12" spans="1:14" ht="16" customHeight="1" x14ac:dyDescent="0.35">
      <c r="A12" s="175">
        <v>2025</v>
      </c>
      <c r="B12" s="173">
        <f>COUNTIF(TablaMóviles[Año],$A12)</f>
        <v>11</v>
      </c>
      <c r="C12" s="173">
        <f>COUNTIFS(TablaMóviles[Año],$A12,TablaMóviles[Estado],C$4)</f>
        <v>8</v>
      </c>
      <c r="D12" s="173">
        <f>COUNTIFS(TablaMóviles[Año],$A12,TablaMóviles[Estado],D$4)</f>
        <v>0</v>
      </c>
      <c r="E12" s="173">
        <f>COUNTIFS(TablaMóviles[Año],$A12,TablaMóviles[Estado],E$4)</f>
        <v>3</v>
      </c>
      <c r="F12" s="173">
        <f>COUNTIFS(TablaMóviles[Año],$A12,TablaMóviles[Estado],F$4)</f>
        <v>0</v>
      </c>
      <c r="G12" s="174">
        <f t="shared" si="0"/>
        <v>0</v>
      </c>
    </row>
    <row r="13" spans="1:14" ht="20.149999999999999" customHeight="1" x14ac:dyDescent="0.35">
      <c r="A13" s="178" t="s">
        <v>25</v>
      </c>
      <c r="B13" s="178">
        <f>SUM(B5:B12)</f>
        <v>109</v>
      </c>
      <c r="C13" s="178">
        <f>SUM(C5:C12)</f>
        <v>86</v>
      </c>
      <c r="D13" s="178">
        <f>SUM(D5:D12)</f>
        <v>0</v>
      </c>
      <c r="E13" s="178">
        <f>SUM(E5:E12)</f>
        <v>17</v>
      </c>
      <c r="F13" s="178">
        <f>SUM(F5:F12)</f>
        <v>6</v>
      </c>
      <c r="G13" s="193">
        <f t="shared" ref="G13" si="1">IFERROR(D13/B13,0)</f>
        <v>0</v>
      </c>
    </row>
    <row r="15" spans="1:14" ht="20.149999999999999" customHeight="1" x14ac:dyDescent="0.35">
      <c r="A15" s="366" t="s">
        <v>491</v>
      </c>
      <c r="B15" s="339"/>
      <c r="C15" s="339"/>
      <c r="D15" s="339"/>
      <c r="E15" s="339"/>
      <c r="F15" s="339"/>
      <c r="G15" s="339"/>
    </row>
    <row r="16" spans="1:14" ht="18" customHeight="1" x14ac:dyDescent="0.35">
      <c r="A16" s="194" t="s">
        <v>489</v>
      </c>
      <c r="B16" s="194" t="s">
        <v>66</v>
      </c>
      <c r="C16" s="194" t="s">
        <v>148</v>
      </c>
      <c r="D16" s="194" t="s">
        <v>77</v>
      </c>
      <c r="E16" s="194" t="s">
        <v>76</v>
      </c>
      <c r="F16" s="194" t="s">
        <v>82</v>
      </c>
      <c r="G16" s="194" t="s">
        <v>490</v>
      </c>
    </row>
    <row r="17" spans="1:7" ht="16" customHeight="1" x14ac:dyDescent="0.35">
      <c r="A17" s="172" t="s">
        <v>152</v>
      </c>
      <c r="B17" s="173">
        <f>COUNTIF(TablaMóviles[Tipo],$A17)</f>
        <v>79</v>
      </c>
      <c r="C17" s="173">
        <f>COUNTIFS(TablaMóviles[Tipo],$A17,TablaMóviles[Estado],C$16)</f>
        <v>56</v>
      </c>
      <c r="D17" s="173">
        <f>COUNTIFS(TablaMóviles[Tipo],$A17,TablaMóviles[Estado],D$16)</f>
        <v>0</v>
      </c>
      <c r="E17" s="173">
        <f>COUNTIFS(TablaMóviles[Tipo],$A17,TablaMóviles[Estado],E$16)</f>
        <v>17</v>
      </c>
      <c r="F17" s="173">
        <f>COUNTIFS(TablaMóviles[Tipo],$A17,TablaMóviles[Estado],F$16)</f>
        <v>6</v>
      </c>
      <c r="G17" s="174">
        <f>IFERROR(D17/B17,0)</f>
        <v>0</v>
      </c>
    </row>
    <row r="18" spans="1:7" ht="16" customHeight="1" x14ac:dyDescent="0.35">
      <c r="A18" s="175" t="s">
        <v>144</v>
      </c>
      <c r="B18" s="173">
        <f>COUNTIF(TablaMóviles[Tipo],$A18)</f>
        <v>3</v>
      </c>
      <c r="C18" s="173">
        <f>COUNTIFS(TablaMóviles[Tipo],$A18,TablaMóviles[Estado],C$16)</f>
        <v>3</v>
      </c>
      <c r="D18" s="173">
        <f>COUNTIFS(TablaMóviles[Tipo],$A18,TablaMóviles[Estado],D$16)</f>
        <v>0</v>
      </c>
      <c r="E18" s="173">
        <f>COUNTIFS(TablaMóviles[Tipo],$A18,TablaMóviles[Estado],E$16)</f>
        <v>0</v>
      </c>
      <c r="F18" s="173">
        <f>COUNTIFS(TablaMóviles[Tipo],$A18,TablaMóviles[Estado],F$16)</f>
        <v>0</v>
      </c>
      <c r="G18" s="174">
        <f t="shared" ref="G18:G19" si="2">IFERROR(D18/B18,0)</f>
        <v>0</v>
      </c>
    </row>
    <row r="19" spans="1:7" ht="16" customHeight="1" x14ac:dyDescent="0.35">
      <c r="A19" s="172" t="s">
        <v>313</v>
      </c>
      <c r="B19" s="173">
        <f>COUNTIF(TablaMóviles[Tipo],$A19)</f>
        <v>27</v>
      </c>
      <c r="C19" s="173">
        <f>COUNTIFS(TablaMóviles[Tipo],$A19,TablaMóviles[Estado],C$16)</f>
        <v>27</v>
      </c>
      <c r="D19" s="173">
        <f>COUNTIFS(TablaMóviles[Tipo],$A19,TablaMóviles[Estado],D$16)</f>
        <v>0</v>
      </c>
      <c r="E19" s="173">
        <f>COUNTIFS(TablaMóviles[Tipo],$A19,TablaMóviles[Estado],E$16)</f>
        <v>0</v>
      </c>
      <c r="F19" s="173">
        <f>COUNTIFS(TablaMóviles[Tipo],$A19,TablaMóviles[Estado],F$16)</f>
        <v>0</v>
      </c>
      <c r="G19" s="174">
        <f t="shared" si="2"/>
        <v>0</v>
      </c>
    </row>
    <row r="20" spans="1:7" ht="20.149999999999999" customHeight="1" x14ac:dyDescent="0.35">
      <c r="A20" s="195" t="s">
        <v>25</v>
      </c>
      <c r="B20" s="195">
        <f>SUM(B17:B19)</f>
        <v>109</v>
      </c>
      <c r="C20" s="195">
        <f>SUM(C17:C19)</f>
        <v>86</v>
      </c>
      <c r="D20" s="195">
        <f>SUM(D17:D19)</f>
        <v>0</v>
      </c>
      <c r="E20" s="195">
        <f>SUM(E17:E19)</f>
        <v>17</v>
      </c>
      <c r="F20" s="195">
        <f>SUM(F17:F19)</f>
        <v>6</v>
      </c>
      <c r="G20" s="196">
        <f>IFERROR(D20/B20,0)</f>
        <v>0</v>
      </c>
    </row>
    <row r="22" spans="1:7" ht="20.149999999999999" customHeight="1" x14ac:dyDescent="0.35">
      <c r="A22" s="383" t="s">
        <v>492</v>
      </c>
      <c r="B22" s="339"/>
      <c r="C22" s="339"/>
      <c r="D22" s="339"/>
      <c r="E22" s="339"/>
      <c r="F22" s="339"/>
      <c r="G22" s="339"/>
    </row>
    <row r="23" spans="1:7" ht="18" customHeight="1" x14ac:dyDescent="0.35">
      <c r="A23" s="171" t="s">
        <v>489</v>
      </c>
      <c r="B23" s="171" t="s">
        <v>66</v>
      </c>
      <c r="C23" s="171" t="s">
        <v>148</v>
      </c>
      <c r="D23" s="171" t="s">
        <v>77</v>
      </c>
      <c r="E23" s="171" t="s">
        <v>76</v>
      </c>
      <c r="F23" s="171" t="s">
        <v>82</v>
      </c>
      <c r="G23" s="171" t="s">
        <v>490</v>
      </c>
    </row>
    <row r="24" spans="1:7" ht="16" customHeight="1" x14ac:dyDescent="0.35">
      <c r="A24" s="172" t="s">
        <v>309</v>
      </c>
      <c r="B24" s="173">
        <f>COUNTIF(TablaMóviles[Provincia],$A24)</f>
        <v>1</v>
      </c>
      <c r="C24" s="173">
        <f>COUNTIFS(TablaMóviles[Provincia],$A24,TablaMóviles[Estado],C$23)</f>
        <v>1</v>
      </c>
      <c r="D24" s="173">
        <f>COUNTIFS(TablaMóviles[Provincia],$A24,TablaMóviles[Estado],D$23)</f>
        <v>0</v>
      </c>
      <c r="E24" s="173">
        <f>COUNTIFS(TablaMóviles[Provincia],$A24,TablaMóviles[Estado],E$23)</f>
        <v>0</v>
      </c>
      <c r="F24" s="173">
        <f>COUNTIFS(TablaMóviles[Provincia],$A24,TablaMóviles[Estado],F$23)</f>
        <v>0</v>
      </c>
      <c r="G24" s="174">
        <f>IFERROR(D24/B24,0)</f>
        <v>0</v>
      </c>
    </row>
    <row r="25" spans="1:7" ht="16" customHeight="1" x14ac:dyDescent="0.35">
      <c r="A25" s="175" t="s">
        <v>179</v>
      </c>
      <c r="B25" s="173">
        <f>COUNTIF(TablaMóviles[Provincia],$A25)</f>
        <v>1</v>
      </c>
      <c r="C25" s="173">
        <f>COUNTIFS(TablaMóviles[Provincia],$A25,TablaMóviles[Estado],C$23)</f>
        <v>0</v>
      </c>
      <c r="D25" s="173">
        <f>COUNTIFS(TablaMóviles[Provincia],$A25,TablaMóviles[Estado],D$23)</f>
        <v>0</v>
      </c>
      <c r="E25" s="173">
        <f>COUNTIFS(TablaMóviles[Provincia],$A25,TablaMóviles[Estado],E$23)</f>
        <v>1</v>
      </c>
      <c r="F25" s="173">
        <f>COUNTIFS(TablaMóviles[Provincia],$A25,TablaMóviles[Estado],F$23)</f>
        <v>0</v>
      </c>
      <c r="G25" s="174">
        <f t="shared" ref="G25:G32" si="3">IFERROR(D25/B25,0)</f>
        <v>0</v>
      </c>
    </row>
    <row r="26" spans="1:7" ht="16" customHeight="1" x14ac:dyDescent="0.35">
      <c r="A26" s="172" t="s">
        <v>155</v>
      </c>
      <c r="B26" s="173">
        <f>COUNTIF(TablaMóviles[Provincia],$A26)</f>
        <v>8</v>
      </c>
      <c r="C26" s="173">
        <f>COUNTIFS(TablaMóviles[Provincia],$A26,TablaMóviles[Estado],C$23)</f>
        <v>4</v>
      </c>
      <c r="D26" s="173">
        <f>COUNTIFS(TablaMóviles[Provincia],$A26,TablaMóviles[Estado],D$23)</f>
        <v>0</v>
      </c>
      <c r="E26" s="173">
        <f>COUNTIFS(TablaMóviles[Provincia],$A26,TablaMóviles[Estado],E$23)</f>
        <v>4</v>
      </c>
      <c r="F26" s="173">
        <f>COUNTIFS(TablaMóviles[Provincia],$A26,TablaMóviles[Estado],F$23)</f>
        <v>0</v>
      </c>
      <c r="G26" s="174">
        <f t="shared" si="3"/>
        <v>0</v>
      </c>
    </row>
    <row r="27" spans="1:7" ht="16" customHeight="1" x14ac:dyDescent="0.35">
      <c r="A27" s="175" t="s">
        <v>67</v>
      </c>
      <c r="B27" s="173">
        <f>COUNTIF(TablaMóviles[Provincia],$A27)</f>
        <v>36</v>
      </c>
      <c r="C27" s="173">
        <f>COUNTIFS(TablaMóviles[Provincia],$A27,TablaMóviles[Estado],C$23)</f>
        <v>29</v>
      </c>
      <c r="D27" s="173">
        <f>COUNTIFS(TablaMóviles[Provincia],$A27,TablaMóviles[Estado],D$23)</f>
        <v>0</v>
      </c>
      <c r="E27" s="173">
        <f>COUNTIFS(TablaMóviles[Provincia],$A27,TablaMóviles[Estado],E$23)</f>
        <v>5</v>
      </c>
      <c r="F27" s="173">
        <f>COUNTIFS(TablaMóviles[Provincia],$A27,TablaMóviles[Estado],F$23)</f>
        <v>2</v>
      </c>
      <c r="G27" s="174">
        <f t="shared" si="3"/>
        <v>0</v>
      </c>
    </row>
    <row r="28" spans="1:7" ht="16" customHeight="1" x14ac:dyDescent="0.35">
      <c r="A28" s="172" t="s">
        <v>147</v>
      </c>
      <c r="B28" s="173">
        <f>COUNTIF(TablaMóviles[Provincia],$A28)</f>
        <v>8</v>
      </c>
      <c r="C28" s="173">
        <f>COUNTIFS(TablaMóviles[Provincia],$A28,TablaMóviles[Estado],C$23)</f>
        <v>6</v>
      </c>
      <c r="D28" s="173">
        <f>COUNTIFS(TablaMóviles[Provincia],$A28,TablaMóviles[Estado],D$23)</f>
        <v>0</v>
      </c>
      <c r="E28" s="173">
        <f>COUNTIFS(TablaMóviles[Provincia],$A28,TablaMóviles[Estado],E$23)</f>
        <v>1</v>
      </c>
      <c r="F28" s="173">
        <f>COUNTIFS(TablaMóviles[Provincia],$A28,TablaMóviles[Estado],F$23)</f>
        <v>1</v>
      </c>
      <c r="G28" s="174">
        <f t="shared" si="3"/>
        <v>0</v>
      </c>
    </row>
    <row r="29" spans="1:7" ht="16" customHeight="1" x14ac:dyDescent="0.35">
      <c r="A29" s="175" t="s">
        <v>84</v>
      </c>
      <c r="B29" s="173">
        <f>COUNTIF(TablaMóviles[Provincia],$A29)</f>
        <v>7</v>
      </c>
      <c r="C29" s="173">
        <f>COUNTIFS(TablaMóviles[Provincia],$A29,TablaMóviles[Estado],C$23)</f>
        <v>5</v>
      </c>
      <c r="D29" s="173">
        <f>COUNTIFS(TablaMóviles[Provincia],$A29,TablaMóviles[Estado],D$23)</f>
        <v>0</v>
      </c>
      <c r="E29" s="173">
        <f>COUNTIFS(TablaMóviles[Provincia],$A29,TablaMóviles[Estado],E$23)</f>
        <v>2</v>
      </c>
      <c r="F29" s="173">
        <f>COUNTIFS(TablaMóviles[Provincia],$A29,TablaMóviles[Estado],F$23)</f>
        <v>0</v>
      </c>
      <c r="G29" s="174">
        <f t="shared" si="3"/>
        <v>0</v>
      </c>
    </row>
    <row r="30" spans="1:7" ht="16" customHeight="1" x14ac:dyDescent="0.35">
      <c r="A30" s="172" t="s">
        <v>469</v>
      </c>
      <c r="B30" s="173">
        <f>COUNTIF(TablaMóviles[Provincia],$A30)</f>
        <v>2</v>
      </c>
      <c r="C30" s="173">
        <f>COUNTIFS(TablaMóviles[Provincia],$A30,TablaMóviles[Estado],C$23)</f>
        <v>1</v>
      </c>
      <c r="D30" s="173">
        <f>COUNTIFS(TablaMóviles[Provincia],$A30,TablaMóviles[Estado],D$23)</f>
        <v>0</v>
      </c>
      <c r="E30" s="173">
        <f>COUNTIFS(TablaMóviles[Provincia],$A30,TablaMóviles[Estado],E$23)</f>
        <v>1</v>
      </c>
      <c r="F30" s="173">
        <f>COUNTIFS(TablaMóviles[Provincia],$A30,TablaMóviles[Estado],F$23)</f>
        <v>0</v>
      </c>
      <c r="G30" s="174">
        <f t="shared" si="3"/>
        <v>0</v>
      </c>
    </row>
    <row r="31" spans="1:7" ht="16" customHeight="1" x14ac:dyDescent="0.35">
      <c r="A31" s="175" t="s">
        <v>79</v>
      </c>
      <c r="B31" s="173">
        <f>COUNTIF(TablaMóviles[Provincia],$A31)</f>
        <v>18</v>
      </c>
      <c r="C31" s="173">
        <f>COUNTIFS(TablaMóviles[Provincia],$A31,TablaMóviles[Estado],C$23)</f>
        <v>12</v>
      </c>
      <c r="D31" s="173">
        <f>COUNTIFS(TablaMóviles[Provincia],$A31,TablaMóviles[Estado],D$23)</f>
        <v>0</v>
      </c>
      <c r="E31" s="173">
        <f>COUNTIFS(TablaMóviles[Provincia],$A31,TablaMóviles[Estado],E$23)</f>
        <v>3</v>
      </c>
      <c r="F31" s="173">
        <f>COUNTIFS(TablaMóviles[Provincia],$A31,TablaMóviles[Estado],F$23)</f>
        <v>3</v>
      </c>
      <c r="G31" s="174">
        <f t="shared" si="3"/>
        <v>0</v>
      </c>
    </row>
    <row r="32" spans="1:7" ht="16" customHeight="1" x14ac:dyDescent="0.35">
      <c r="A32" s="172" t="s">
        <v>315</v>
      </c>
      <c r="B32" s="173">
        <f>COUNTIF(TablaMóviles[Provincia],$A32)</f>
        <v>28</v>
      </c>
      <c r="C32" s="173">
        <f>COUNTIFS(TablaMóviles[Provincia],$A32,TablaMóviles[Estado],C$23)</f>
        <v>28</v>
      </c>
      <c r="D32" s="173">
        <f>COUNTIFS(TablaMóviles[Provincia],$A32,TablaMóviles[Estado],D$23)</f>
        <v>0</v>
      </c>
      <c r="E32" s="173">
        <f>COUNTIFS(TablaMóviles[Provincia],$A32,TablaMóviles[Estado],E$23)</f>
        <v>0</v>
      </c>
      <c r="F32" s="173">
        <f>COUNTIFS(TablaMóviles[Provincia],$A32,TablaMóviles[Estado],F$23)</f>
        <v>0</v>
      </c>
      <c r="G32" s="174">
        <f t="shared" si="3"/>
        <v>0</v>
      </c>
    </row>
    <row r="33" spans="1:7" ht="20.149999999999999" customHeight="1" x14ac:dyDescent="0.35">
      <c r="A33" s="197" t="s">
        <v>25</v>
      </c>
      <c r="B33" s="197">
        <f>SUM(B24:B32)</f>
        <v>109</v>
      </c>
      <c r="C33" s="197">
        <f>SUM(C24:C32)</f>
        <v>86</v>
      </c>
      <c r="D33" s="197">
        <f>SUM(D24:D32)</f>
        <v>0</v>
      </c>
      <c r="E33" s="197">
        <f>SUM(E24:E32)</f>
        <v>17</v>
      </c>
      <c r="F33" s="197">
        <f>SUM(F24:F32)</f>
        <v>6</v>
      </c>
      <c r="G33" s="198">
        <f t="shared" ref="G33" si="4">IFERROR(D33/B33,0)</f>
        <v>0</v>
      </c>
    </row>
    <row r="35" spans="1:7" ht="20.149999999999999" customHeight="1" x14ac:dyDescent="0.35">
      <c r="A35" s="384" t="s">
        <v>493</v>
      </c>
      <c r="B35" s="339"/>
      <c r="C35" s="339"/>
      <c r="D35" s="339"/>
      <c r="E35" s="339"/>
      <c r="F35" s="339"/>
      <c r="G35" s="339"/>
    </row>
    <row r="36" spans="1:7" ht="18" customHeight="1" x14ac:dyDescent="0.35">
      <c r="A36" s="199" t="s">
        <v>489</v>
      </c>
      <c r="B36" s="199" t="s">
        <v>66</v>
      </c>
      <c r="C36" s="199" t="s">
        <v>148</v>
      </c>
      <c r="D36" s="199" t="s">
        <v>77</v>
      </c>
      <c r="E36" s="199" t="s">
        <v>76</v>
      </c>
      <c r="F36" s="199" t="s">
        <v>82</v>
      </c>
      <c r="G36" s="199" t="s">
        <v>490</v>
      </c>
    </row>
    <row r="37" spans="1:7" ht="16" customHeight="1" x14ac:dyDescent="0.35">
      <c r="A37" s="172" t="s">
        <v>494</v>
      </c>
      <c r="B37" s="173" cm="1">
        <f t="array" ref="B37">SUMPRODUCT(--(ISNUMBER(SEARCH("HILUX",TablaMóviles[Modelo]))+ISNUMBER(SEARCH("TOYOTA",TablaMóviles[Modelo]))&gt;0))</f>
        <v>67</v>
      </c>
      <c r="C37" s="173" cm="1">
        <f t="array" ref="C37">SUMPRODUCT(((ISNUMBER(SEARCH("HILUX",TablaMóviles[Modelo]))+ISNUMBER(SEARCH("TOYOTA",TablaMóviles[Modelo])))&gt;0)*(TablaMóviles[Estado]=C$36))</f>
        <v>54</v>
      </c>
      <c r="D37" s="173" cm="1">
        <f t="array" ref="D37">SUMPRODUCT(((ISNUMBER(SEARCH("HILUX",TablaMóviles[Modelo]))+ISNUMBER(SEARCH("TOYOTA",TablaMóviles[Modelo])))&gt;0)*(TablaMóviles[Estado]=D$36))</f>
        <v>0</v>
      </c>
      <c r="E37" s="173" cm="1">
        <f t="array" ref="E37">SUMPRODUCT(((ISNUMBER(SEARCH("HILUX",TablaMóviles[Modelo]))+ISNUMBER(SEARCH("TOYOTA",TablaMóviles[Modelo])))&gt;0)*(TablaMóviles[Estado]=E$36))</f>
        <v>10</v>
      </c>
      <c r="F37" s="173" cm="1">
        <f t="array" ref="F37">SUMPRODUCT(((ISNUMBER(SEARCH("HILUX",TablaMóviles[Modelo]))+ISNUMBER(SEARCH("TOYOTA",TablaMóviles[Modelo])))&gt;0)*(TablaMóviles[Estado]=F$36))</f>
        <v>3</v>
      </c>
      <c r="G37" s="174">
        <f t="shared" ref="G37:G42" si="5">IFERROR(D37/B37,0)</f>
        <v>0</v>
      </c>
    </row>
    <row r="38" spans="1:7" ht="16" customHeight="1" x14ac:dyDescent="0.35">
      <c r="A38" s="175" t="s">
        <v>323</v>
      </c>
      <c r="B38" s="173" cm="1">
        <f t="array" ref="B38">SUMPRODUCT(--((ISNUMBER(SEARCH("RANGER",TablaMóviles[Modelo]))+ISNUMBER(SEARCH("FORD",TablaMóviles[Modelo])))&gt;0))-B41</f>
        <v>38</v>
      </c>
      <c r="C38" s="173" cm="1">
        <f t="array" ref="C38">SUMPRODUCT(((ISNUMBER(SEARCH("RANGER",TablaMóviles[Modelo]))+ISNUMBER(SEARCH("FORD",TablaMóviles[Modelo])))&gt;0)*(TablaMóviles[Estado]=C$36))-C41</f>
        <v>28</v>
      </c>
      <c r="D38" s="173" cm="1">
        <f t="array" ref="D38">SUMPRODUCT(((ISNUMBER(SEARCH("RANGER",TablaMóviles[Modelo]))+ISNUMBER(SEARCH("FORD",TablaMóviles[Modelo])))&gt;0)*(TablaMóviles[Estado]=D$36))-D41</f>
        <v>0</v>
      </c>
      <c r="E38" s="173" cm="1">
        <f t="array" ref="E38">SUMPRODUCT(((ISNUMBER(SEARCH("RANGER",TablaMóviles[Modelo]))+ISNUMBER(SEARCH("FORD",TablaMóviles[Modelo])))&gt;0)*(TablaMóviles[Estado]=E$36))-E41</f>
        <v>7</v>
      </c>
      <c r="F38" s="173" cm="1">
        <f t="array" ref="F38">SUMPRODUCT(((ISNUMBER(SEARCH("RANGER",TablaMóviles[Modelo]))+ISNUMBER(SEARCH("FORD",TablaMóviles[Modelo])))&gt;0)*(TablaMóviles[Estado]=F$36))-F41</f>
        <v>3</v>
      </c>
      <c r="G38" s="174">
        <f t="shared" si="5"/>
        <v>0</v>
      </c>
    </row>
    <row r="39" spans="1:7" ht="16" customHeight="1" x14ac:dyDescent="0.35">
      <c r="A39" s="172" t="s">
        <v>495</v>
      </c>
      <c r="B39" s="173">
        <f>COUNTIF(TablaMóviles[Modelo],"*BOXER*")</f>
        <v>1</v>
      </c>
      <c r="C39" s="173">
        <f>COUNTIFS(TablaMóviles[Modelo],"*BOXER*",TablaMóviles[Estado],C$36)</f>
        <v>1</v>
      </c>
      <c r="D39" s="173">
        <f>COUNTIFS(TablaMóviles[Modelo],"*BOXER*",TablaMóviles[Estado],D$36)</f>
        <v>0</v>
      </c>
      <c r="E39" s="173">
        <f>COUNTIFS(TablaMóviles[Modelo],"*BOXER*",TablaMóviles[Estado],E$36)</f>
        <v>0</v>
      </c>
      <c r="F39" s="173">
        <f>COUNTIFS(TablaMóviles[Modelo],"*BOXER*",TablaMóviles[Estado],F$36)</f>
        <v>0</v>
      </c>
      <c r="G39" s="174">
        <f t="shared" si="5"/>
        <v>0</v>
      </c>
    </row>
    <row r="40" spans="1:7" ht="16" customHeight="1" x14ac:dyDescent="0.35">
      <c r="A40" s="175" t="s">
        <v>496</v>
      </c>
      <c r="B40" s="173" cm="1">
        <f t="array" ref="B40">SUMPRODUCT(--((ISNUMBER(SEARCH("FIAT",TablaMóviles[Modelo]))+ISNUMBER(SEARCH("DUCATO",TablaMóviles[Modelo]))+ISNUMBER(SEARCH("STRADA",TablaMóviles[Modelo])))&gt;0))</f>
        <v>2</v>
      </c>
      <c r="C40" s="173" cm="1">
        <f t="array" ref="C40">SUMPRODUCT(((ISNUMBER(SEARCH("FIAT",TablaMóviles[Modelo]))+ISNUMBER(SEARCH("DUCATO",TablaMóviles[Modelo]))+ISNUMBER(SEARCH("STRADA",TablaMóviles[Modelo])))&gt;0)*(TablaMóviles[Estado]=C$36))</f>
        <v>2</v>
      </c>
      <c r="D40" s="173" cm="1">
        <f t="array" ref="D40">SUMPRODUCT(((ISNUMBER(SEARCH("FIAT",TablaMóviles[Modelo]))+ISNUMBER(SEARCH("DUCATO",TablaMóviles[Modelo]))+ISNUMBER(SEARCH("STRADA",TablaMóviles[Modelo])))&gt;0)*(TablaMóviles[Estado]=D$36))</f>
        <v>0</v>
      </c>
      <c r="E40" s="173" cm="1">
        <f t="array" ref="E40">SUMPRODUCT(((ISNUMBER(SEARCH("FIAT",TablaMóviles[Modelo]))+ISNUMBER(SEARCH("DUCATO",TablaMóviles[Modelo]))+ISNUMBER(SEARCH("STRADA",TablaMóviles[Modelo])))&gt;0)*(TablaMóviles[Estado]=E$36))</f>
        <v>0</v>
      </c>
      <c r="F40" s="173" cm="1">
        <f t="array" ref="F40">SUMPRODUCT(((ISNUMBER(SEARCH("FIAT",TablaMóviles[Modelo]))+ISNUMBER(SEARCH("DUCATO",TablaMóviles[Modelo]))+ISNUMBER(SEARCH("STRADA",TablaMóviles[Modelo])))&gt;0)*(TablaMóviles[Estado]=F$36))</f>
        <v>0</v>
      </c>
      <c r="G40" s="174">
        <f t="shared" si="5"/>
        <v>0</v>
      </c>
    </row>
    <row r="41" spans="1:7" ht="16" customHeight="1" x14ac:dyDescent="0.35">
      <c r="A41" s="175" t="s">
        <v>497</v>
      </c>
      <c r="B41" s="173">
        <f>COUNTIF(TablaMóviles[Modelo],"*TRANSIT*")</f>
        <v>1</v>
      </c>
      <c r="C41" s="173">
        <f>COUNTIFS(TablaMóviles[Modelo],"*TRANSIT*",TablaMóviles[Estado],C$36)</f>
        <v>1</v>
      </c>
      <c r="D41" s="173">
        <f>COUNTIFS(TablaMóviles[Modelo],"*TRANSIT*",TablaMóviles[Estado],D$36)</f>
        <v>0</v>
      </c>
      <c r="E41" s="173">
        <f>COUNTIFS(TablaMóviles[Modelo],"*TRANSIT*",TablaMóviles[Estado],E$36)</f>
        <v>0</v>
      </c>
      <c r="F41" s="173">
        <f>COUNTIFS(TablaMóviles[Modelo],"*TRANSIT*",TablaMóviles[Estado],F$36)</f>
        <v>0</v>
      </c>
      <c r="G41" s="174">
        <f t="shared" si="5"/>
        <v>0</v>
      </c>
    </row>
    <row r="42" spans="1:7" ht="20.149999999999999" customHeight="1" x14ac:dyDescent="0.35">
      <c r="A42" s="200" t="s">
        <v>25</v>
      </c>
      <c r="B42" s="200">
        <f>SUM(B37:B41)</f>
        <v>109</v>
      </c>
      <c r="C42" s="200">
        <f>SUM(C37:C41)</f>
        <v>86</v>
      </c>
      <c r="D42" s="200">
        <f>SUM(D37:D41)</f>
        <v>0</v>
      </c>
      <c r="E42" s="200">
        <f>SUM(E37:E41)</f>
        <v>17</v>
      </c>
      <c r="F42" s="200">
        <f>SUM(F37:F41)</f>
        <v>6</v>
      </c>
      <c r="G42" s="1">
        <f t="shared" si="5"/>
        <v>0</v>
      </c>
    </row>
  </sheetData>
  <sheetProtection algorithmName="SHA-512" hashValue="/xLaGY+fhKZ42oZmTkMKzx7hYny9WmA41KZPTgSOv0tRR+tIvRVdfkSRvNgMKB9+TYYdCjku41BgLAgrIqxu6w==" saltValue="kU7Xqtk6o8dFr60Wmx6dmg==" spinCount="100000" sheet="1" objects="1" scenarios="1"/>
  <mergeCells count="5">
    <mergeCell ref="A3:G3"/>
    <mergeCell ref="A22:G22"/>
    <mergeCell ref="A35:G35"/>
    <mergeCell ref="A15:G1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showGridLines="0" workbookViewId="0">
      <pane ySplit="4" topLeftCell="A5" activePane="bottomLeft" state="frozen"/>
      <selection pane="bottomLeft" activeCell="E21" sqref="E21"/>
    </sheetView>
  </sheetViews>
  <sheetFormatPr baseColWidth="10" defaultColWidth="8.81640625" defaultRowHeight="14.5" x14ac:dyDescent="0.35"/>
  <cols>
    <col min="1" max="1" width="22" customWidth="1"/>
    <col min="2" max="2" width="8" customWidth="1"/>
    <col min="3" max="3" width="11" customWidth="1"/>
    <col min="4" max="4" width="12" customWidth="1"/>
    <col min="5" max="5" width="9" customWidth="1"/>
    <col min="6" max="6" width="12" customWidth="1"/>
    <col min="7" max="7" width="24" customWidth="1"/>
    <col min="8" max="8" width="14" customWidth="1"/>
    <col min="9" max="9" width="8" customWidth="1"/>
    <col min="10" max="10" width="16" customWidth="1"/>
    <col min="11" max="11" width="14" customWidth="1"/>
  </cols>
  <sheetData>
    <row r="1" spans="1:11" ht="26.15" customHeight="1" x14ac:dyDescent="0.35">
      <c r="A1" s="387" t="s">
        <v>498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</row>
    <row r="2" spans="1:11" ht="16" customHeight="1" x14ac:dyDescent="0.35">
      <c r="A2" s="386" t="s">
        <v>499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</row>
    <row r="3" spans="1:11" ht="10" customHeight="1" x14ac:dyDescent="0.35"/>
    <row r="4" spans="1:11" ht="18" customHeight="1" x14ac:dyDescent="0.35">
      <c r="A4" s="201" t="s">
        <v>130</v>
      </c>
      <c r="B4" s="201" t="s">
        <v>66</v>
      </c>
      <c r="C4" s="201" t="s">
        <v>110</v>
      </c>
      <c r="D4" s="201" t="s">
        <v>111</v>
      </c>
      <c r="E4" s="201" t="s">
        <v>76</v>
      </c>
      <c r="F4" s="201" t="s">
        <v>82</v>
      </c>
      <c r="G4" s="201" t="s">
        <v>500</v>
      </c>
      <c r="H4" s="201" t="s">
        <v>501</v>
      </c>
      <c r="I4" s="201" t="s">
        <v>502</v>
      </c>
      <c r="J4" s="201" t="s">
        <v>135</v>
      </c>
      <c r="K4" s="201" t="s">
        <v>503</v>
      </c>
    </row>
    <row r="5" spans="1:11" ht="20.149999999999999" customHeight="1" x14ac:dyDescent="0.35">
      <c r="A5" s="172" t="s">
        <v>68</v>
      </c>
      <c r="B5" s="173">
        <f>COUNTIF(Datos!$I$3:$I$111,A5)</f>
        <v>24</v>
      </c>
      <c r="C5" s="173">
        <f>COUNTIFS(Datos!$I$3:$I$111,A5,Datos!$M$3:$M$111,"Asignado")</f>
        <v>24</v>
      </c>
      <c r="D5" s="173">
        <f>COUNTIFS(Datos!$I$3:$I$111,A5,Datos!$M$3:$M$111,"Disponible")</f>
        <v>0</v>
      </c>
      <c r="E5" s="173">
        <f>COUNTIFS(Datos!$I$3:$I$111,A5,Datos!$M$3:$M$111,"Back Up")</f>
        <v>0</v>
      </c>
      <c r="F5" s="173">
        <f>COUNTIFS(Datos!$I$3:$I$111,A5,Datos!$M$3:$M$111,"En Reparación")</f>
        <v>0</v>
      </c>
      <c r="G5" s="202" t="s">
        <v>117</v>
      </c>
      <c r="H5" s="202" t="s">
        <v>152</v>
      </c>
      <c r="I5" s="173" t="s">
        <v>504</v>
      </c>
      <c r="J5" s="173" t="s">
        <v>149</v>
      </c>
      <c r="K5" s="182" t="s">
        <v>148</v>
      </c>
    </row>
    <row r="6" spans="1:11" ht="20.149999999999999" customHeight="1" x14ac:dyDescent="0.35">
      <c r="A6" s="175" t="s">
        <v>505</v>
      </c>
      <c r="B6" s="176">
        <f>COUNTIF(Datos!$I$3:$I$111,A6)</f>
        <v>17</v>
      </c>
      <c r="C6" s="176">
        <f>COUNTIFS(Datos!$I$3:$I$111,A6,Datos!$M$3:$M$111,"Asignado")</f>
        <v>13</v>
      </c>
      <c r="D6" s="176">
        <f>COUNTIFS(Datos!$I$3:$I$111,A6,Datos!$M$3:$M$111,"Disponible")</f>
        <v>0</v>
      </c>
      <c r="E6" s="176">
        <f>COUNTIFS(Datos!$I$3:$I$111,A6,Datos!$M$3:$M$111,"Back Up")</f>
        <v>4</v>
      </c>
      <c r="F6" s="176">
        <f>COUNTIFS(Datos!$I$3:$I$111,A6,Datos!$M$3:$M$111,"En Reparación")</f>
        <v>0</v>
      </c>
      <c r="G6" s="203" t="s">
        <v>506</v>
      </c>
      <c r="H6" s="203" t="s">
        <v>507</v>
      </c>
      <c r="I6" s="176" t="s">
        <v>508</v>
      </c>
      <c r="J6" s="176" t="s">
        <v>149</v>
      </c>
      <c r="K6" s="182" t="s">
        <v>148</v>
      </c>
    </row>
    <row r="7" spans="1:11" ht="20.149999999999999" customHeight="1" x14ac:dyDescent="0.35">
      <c r="A7" s="172" t="s">
        <v>509</v>
      </c>
      <c r="B7" s="173">
        <f>COUNTIF(Datos!$I$3:$I$111,A7)</f>
        <v>0</v>
      </c>
      <c r="C7" s="173">
        <f>COUNTIFS(Datos!$I$3:$I$111,A7,Datos!$M$3:$M$111,"Asignado")</f>
        <v>0</v>
      </c>
      <c r="D7" s="173">
        <f>COUNTIFS(Datos!$I$3:$I$111,A7,Datos!$M$3:$M$111,"Disponible")</f>
        <v>0</v>
      </c>
      <c r="E7" s="173">
        <f>COUNTIFS(Datos!$I$3:$I$111,A7,Datos!$M$3:$M$111,"Back Up")</f>
        <v>0</v>
      </c>
      <c r="F7" s="173">
        <f>COUNTIFS(Datos!$I$3:$I$111,A7,Datos!$M$3:$M$111,"En Reparación")</f>
        <v>0</v>
      </c>
      <c r="G7" s="202" t="s">
        <v>117</v>
      </c>
      <c r="H7" s="202" t="s">
        <v>152</v>
      </c>
      <c r="I7" s="173" t="s">
        <v>510</v>
      </c>
      <c r="J7" s="173" t="s">
        <v>77</v>
      </c>
      <c r="K7" s="185" t="s">
        <v>77</v>
      </c>
    </row>
    <row r="8" spans="1:11" ht="20.149999999999999" customHeight="1" x14ac:dyDescent="0.35">
      <c r="A8" s="175" t="s">
        <v>511</v>
      </c>
      <c r="B8" s="176">
        <f>COUNTIF(Datos!$I$3:$I$111,A8)</f>
        <v>0</v>
      </c>
      <c r="C8" s="176">
        <f>COUNTIFS(Datos!$I$3:$I$111,A8,Datos!$M$3:$M$111,"Asignado")</f>
        <v>0</v>
      </c>
      <c r="D8" s="176">
        <f>COUNTIFS(Datos!$I$3:$I$111,A8,Datos!$M$3:$M$111,"Disponible")</f>
        <v>0</v>
      </c>
      <c r="E8" s="176">
        <f>COUNTIFS(Datos!$I$3:$I$111,A8,Datos!$M$3:$M$111,"Back Up")</f>
        <v>0</v>
      </c>
      <c r="F8" s="176">
        <f>COUNTIFS(Datos!$I$3:$I$111,A8,Datos!$M$3:$M$111,"En Reparación")</f>
        <v>0</v>
      </c>
      <c r="G8" s="203" t="s">
        <v>114</v>
      </c>
      <c r="H8" s="203" t="s">
        <v>313</v>
      </c>
      <c r="I8" s="176" t="s">
        <v>512</v>
      </c>
      <c r="J8" s="176" t="s">
        <v>317</v>
      </c>
      <c r="K8" s="182" t="s">
        <v>148</v>
      </c>
    </row>
    <row r="9" spans="1:11" ht="20.149999999999999" customHeight="1" x14ac:dyDescent="0.35">
      <c r="A9" s="172" t="s">
        <v>513</v>
      </c>
      <c r="B9" s="173">
        <f>COUNTIF(Datos!$I$3:$I$111,A9)</f>
        <v>0</v>
      </c>
      <c r="C9" s="173">
        <f>COUNTIFS(Datos!$I$3:$I$111,A9,Datos!$M$3:$M$111,"Asignado")</f>
        <v>0</v>
      </c>
      <c r="D9" s="173">
        <f>COUNTIFS(Datos!$I$3:$I$111,A9,Datos!$M$3:$M$111,"Disponible")</f>
        <v>0</v>
      </c>
      <c r="E9" s="173">
        <f>COUNTIFS(Datos!$I$3:$I$111,A9,Datos!$M$3:$M$111,"Back Up")</f>
        <v>0</v>
      </c>
      <c r="F9" s="173">
        <f>COUNTIFS(Datos!$I$3:$I$111,A9,Datos!$M$3:$M$111,"En Reparación")</f>
        <v>0</v>
      </c>
      <c r="G9" s="202" t="s">
        <v>514</v>
      </c>
      <c r="H9" s="202" t="s">
        <v>152</v>
      </c>
      <c r="I9" s="173" t="s">
        <v>515</v>
      </c>
      <c r="J9" s="173" t="s">
        <v>76</v>
      </c>
      <c r="K9" s="188" t="s">
        <v>76</v>
      </c>
    </row>
    <row r="10" spans="1:11" ht="20.149999999999999" customHeight="1" x14ac:dyDescent="0.35">
      <c r="A10" s="175" t="s">
        <v>192</v>
      </c>
      <c r="B10" s="176">
        <f>COUNTIF(Datos!$I$3:$I$111,A10)</f>
        <v>4</v>
      </c>
      <c r="C10" s="176">
        <f>COUNTIFS(Datos!$I$3:$I$111,A10,Datos!$M$3:$M$111,"Asignado")</f>
        <v>4</v>
      </c>
      <c r="D10" s="176">
        <f>COUNTIFS(Datos!$I$3:$I$111,A10,Datos!$M$3:$M$111,"Disponible")</f>
        <v>0</v>
      </c>
      <c r="E10" s="176">
        <f>COUNTIFS(Datos!$I$3:$I$111,A10,Datos!$M$3:$M$111,"Back Up")</f>
        <v>0</v>
      </c>
      <c r="F10" s="176">
        <f>COUNTIFS(Datos!$I$3:$I$111,A10,Datos!$M$3:$M$111,"En Reparación")</f>
        <v>0</v>
      </c>
      <c r="G10" s="203" t="s">
        <v>117</v>
      </c>
      <c r="H10" s="203" t="s">
        <v>152</v>
      </c>
      <c r="I10" s="176" t="s">
        <v>515</v>
      </c>
      <c r="J10" s="176" t="s">
        <v>149</v>
      </c>
      <c r="K10" s="182" t="s">
        <v>148</v>
      </c>
    </row>
    <row r="11" spans="1:11" ht="20.149999999999999" customHeight="1" x14ac:dyDescent="0.35">
      <c r="A11" s="172" t="s">
        <v>516</v>
      </c>
      <c r="B11" s="173">
        <f>COUNTIF(Datos!$I$3:$I$111,A11)</f>
        <v>0</v>
      </c>
      <c r="C11" s="173">
        <f>COUNTIFS(Datos!$I$3:$I$111,A11,Datos!$M$3:$M$111,"Asignado")</f>
        <v>0</v>
      </c>
      <c r="D11" s="173">
        <f>COUNTIFS(Datos!$I$3:$I$111,A11,Datos!$M$3:$M$111,"Disponible")</f>
        <v>0</v>
      </c>
      <c r="E11" s="173">
        <f>COUNTIFS(Datos!$I$3:$I$111,A11,Datos!$M$3:$M$111,"Back Up")</f>
        <v>0</v>
      </c>
      <c r="F11" s="173">
        <f>COUNTIFS(Datos!$I$3:$I$111,A11,Datos!$M$3:$M$111,"En Reparación")</f>
        <v>0</v>
      </c>
      <c r="G11" s="202" t="s">
        <v>117</v>
      </c>
      <c r="H11" s="202" t="s">
        <v>152</v>
      </c>
      <c r="I11" s="173" t="s">
        <v>517</v>
      </c>
      <c r="J11" s="173" t="s">
        <v>76</v>
      </c>
      <c r="K11" s="188" t="s">
        <v>76</v>
      </c>
    </row>
    <row r="12" spans="1:11" ht="20.149999999999999" customHeight="1" x14ac:dyDescent="0.35">
      <c r="A12" s="175" t="s">
        <v>518</v>
      </c>
      <c r="B12" s="176">
        <f>COUNTIF(Datos!$I$3:$I$111,A12)</f>
        <v>0</v>
      </c>
      <c r="C12" s="176">
        <f>COUNTIFS(Datos!$I$3:$I$111,A12,Datos!$M$3:$M$111,"Asignado")</f>
        <v>0</v>
      </c>
      <c r="D12" s="176">
        <f>COUNTIFS(Datos!$I$3:$I$111,A12,Datos!$M$3:$M$111,"Disponible")</f>
        <v>0</v>
      </c>
      <c r="E12" s="176">
        <f>COUNTIFS(Datos!$I$3:$I$111,A12,Datos!$M$3:$M$111,"Back Up")</f>
        <v>0</v>
      </c>
      <c r="F12" s="176">
        <f>COUNTIFS(Datos!$I$3:$I$111,A12,Datos!$M$3:$M$111,"En Reparación")</f>
        <v>0</v>
      </c>
      <c r="G12" s="203" t="s">
        <v>114</v>
      </c>
      <c r="H12" s="203" t="s">
        <v>313</v>
      </c>
      <c r="I12" s="176" t="s">
        <v>519</v>
      </c>
      <c r="J12" s="176" t="s">
        <v>317</v>
      </c>
      <c r="K12" s="182" t="s">
        <v>148</v>
      </c>
    </row>
    <row r="13" spans="1:11" ht="20.149999999999999" customHeight="1" x14ac:dyDescent="0.35">
      <c r="A13" s="172" t="s">
        <v>520</v>
      </c>
      <c r="B13" s="173">
        <f>COUNTIF(Datos!$I$3:$I$111,A13)</f>
        <v>0</v>
      </c>
      <c r="C13" s="173">
        <f>COUNTIFS(Datos!$I$3:$I$111,A13,Datos!$M$3:$M$111,"Asignado")</f>
        <v>0</v>
      </c>
      <c r="D13" s="173">
        <f>COUNTIFS(Datos!$I$3:$I$111,A13,Datos!$M$3:$M$111,"Disponible")</f>
        <v>0</v>
      </c>
      <c r="E13" s="173">
        <f>COUNTIFS(Datos!$I$3:$I$111,A13,Datos!$M$3:$M$111,"Back Up")</f>
        <v>0</v>
      </c>
      <c r="F13" s="173">
        <f>COUNTIFS(Datos!$I$3:$I$111,A13,Datos!$M$3:$M$111,"En Reparación")</f>
        <v>0</v>
      </c>
      <c r="G13" s="202" t="s">
        <v>119</v>
      </c>
      <c r="H13" s="202" t="s">
        <v>152</v>
      </c>
      <c r="I13" s="173" t="s">
        <v>38</v>
      </c>
      <c r="J13" s="173" t="s">
        <v>317</v>
      </c>
      <c r="K13" s="182" t="s">
        <v>148</v>
      </c>
    </row>
    <row r="14" spans="1:11" ht="20.149999999999999" customHeight="1" x14ac:dyDescent="0.35">
      <c r="A14" s="175" t="s">
        <v>521</v>
      </c>
      <c r="B14" s="176">
        <f>COUNTIF(Datos!$I$3:$I$111,A14)</f>
        <v>0</v>
      </c>
      <c r="C14" s="176">
        <f>COUNTIFS(Datos!$I$3:$I$111,A14,Datos!$M$3:$M$111,"Asignado")</f>
        <v>0</v>
      </c>
      <c r="D14" s="176">
        <f>COUNTIFS(Datos!$I$3:$I$111,A14,Datos!$M$3:$M$111,"Disponible")</f>
        <v>0</v>
      </c>
      <c r="E14" s="176">
        <f>COUNTIFS(Datos!$I$3:$I$111,A14,Datos!$M$3:$M$111,"Back Up")</f>
        <v>0</v>
      </c>
      <c r="F14" s="176">
        <f>COUNTIFS(Datos!$I$3:$I$111,A14,Datos!$M$3:$M$111,"En Reparación")</f>
        <v>0</v>
      </c>
      <c r="G14" s="203" t="s">
        <v>114</v>
      </c>
      <c r="H14" s="203" t="s">
        <v>313</v>
      </c>
      <c r="I14" s="176" t="s">
        <v>522</v>
      </c>
      <c r="J14" s="176" t="s">
        <v>317</v>
      </c>
      <c r="K14" s="182" t="s">
        <v>148</v>
      </c>
    </row>
    <row r="15" spans="1:11" ht="20.149999999999999" customHeight="1" x14ac:dyDescent="0.35">
      <c r="A15" s="172" t="s">
        <v>523</v>
      </c>
      <c r="B15" s="173">
        <f>COUNTIF(Datos!$I$3:$I$111,A15)</f>
        <v>4</v>
      </c>
      <c r="C15" s="173">
        <f>COUNTIFS(Datos!$I$3:$I$111,A15,Datos!$M$3:$M$111,"Asignado")</f>
        <v>4</v>
      </c>
      <c r="D15" s="173">
        <f>COUNTIFS(Datos!$I$3:$I$111,A15,Datos!$M$3:$M$111,"Disponible")</f>
        <v>0</v>
      </c>
      <c r="E15" s="173">
        <f>COUNTIFS(Datos!$I$3:$I$111,A15,Datos!$M$3:$M$111,"Back Up")</f>
        <v>0</v>
      </c>
      <c r="F15" s="173">
        <f>COUNTIFS(Datos!$I$3:$I$111,A15,Datos!$M$3:$M$111,"En Reparación")</f>
        <v>0</v>
      </c>
      <c r="G15" s="202" t="s">
        <v>118</v>
      </c>
      <c r="H15" s="202" t="s">
        <v>152</v>
      </c>
      <c r="I15" s="173" t="s">
        <v>524</v>
      </c>
      <c r="J15" s="173" t="s">
        <v>149</v>
      </c>
      <c r="K15" s="182" t="s">
        <v>148</v>
      </c>
    </row>
    <row r="16" spans="1:11" ht="20.149999999999999" customHeight="1" x14ac:dyDescent="0.35">
      <c r="A16" s="175" t="s">
        <v>525</v>
      </c>
      <c r="B16" s="176">
        <f>COUNTIF(Datos!$I$3:$I$111,A16)</f>
        <v>0</v>
      </c>
      <c r="C16" s="176">
        <f>COUNTIFS(Datos!$I$3:$I$111,A16,Datos!$M$3:$M$111,"Asignado")</f>
        <v>0</v>
      </c>
      <c r="D16" s="176">
        <f>COUNTIFS(Datos!$I$3:$I$111,A16,Datos!$M$3:$M$111,"Disponible")</f>
        <v>0</v>
      </c>
      <c r="E16" s="176">
        <f>COUNTIFS(Datos!$I$3:$I$111,A16,Datos!$M$3:$M$111,"Back Up")</f>
        <v>0</v>
      </c>
      <c r="F16" s="176">
        <f>COUNTIFS(Datos!$I$3:$I$111,A16,Datos!$M$3:$M$111,"En Reparación")</f>
        <v>0</v>
      </c>
      <c r="G16" s="203" t="s">
        <v>526</v>
      </c>
      <c r="H16" s="203" t="s">
        <v>152</v>
      </c>
      <c r="I16" s="176" t="s">
        <v>527</v>
      </c>
      <c r="J16" s="176" t="s">
        <v>76</v>
      </c>
      <c r="K16" s="188" t="s">
        <v>76</v>
      </c>
    </row>
    <row r="17" spans="1:11" ht="20.149999999999999" customHeight="1" x14ac:dyDescent="0.35">
      <c r="A17" s="172" t="s">
        <v>335</v>
      </c>
      <c r="B17" s="173">
        <f>COUNTIF(Datos!$I$3:$I$111,A17)</f>
        <v>0</v>
      </c>
      <c r="C17" s="173">
        <f>COUNTIFS(Datos!$I$3:$I$111,A17,Datos!$M$3:$M$111,"Asignado")</f>
        <v>0</v>
      </c>
      <c r="D17" s="173">
        <f>COUNTIFS(Datos!$I$3:$I$111,A17,Datos!$M$3:$M$111,"Disponible")</f>
        <v>0</v>
      </c>
      <c r="E17" s="173">
        <f>COUNTIFS(Datos!$I$3:$I$111,A17,Datos!$M$3:$M$111,"Back Up")</f>
        <v>0</v>
      </c>
      <c r="F17" s="173">
        <f>COUNTIFS(Datos!$I$3:$I$111,A17,Datos!$M$3:$M$111,"En Reparación")</f>
        <v>0</v>
      </c>
      <c r="G17" s="202" t="s">
        <v>114</v>
      </c>
      <c r="H17" s="202" t="s">
        <v>313</v>
      </c>
      <c r="I17" s="173" t="s">
        <v>35</v>
      </c>
      <c r="J17" s="173" t="s">
        <v>317</v>
      </c>
      <c r="K17" s="182" t="s">
        <v>148</v>
      </c>
    </row>
    <row r="18" spans="1:11" ht="20.149999999999999" customHeight="1" x14ac:dyDescent="0.35">
      <c r="A18" s="175" t="s">
        <v>528</v>
      </c>
      <c r="B18" s="176">
        <f>COUNTIF(Datos!$I$3:$I$111,A18)</f>
        <v>0</v>
      </c>
      <c r="C18" s="176">
        <f>COUNTIFS(Datos!$I$3:$I$111,A18,Datos!$M$3:$M$111,"Asignado")</f>
        <v>0</v>
      </c>
      <c r="D18" s="176">
        <f>COUNTIFS(Datos!$I$3:$I$111,A18,Datos!$M$3:$M$111,"Disponible")</f>
        <v>0</v>
      </c>
      <c r="E18" s="176">
        <f>COUNTIFS(Datos!$I$3:$I$111,A18,Datos!$M$3:$M$111,"Back Up")</f>
        <v>0</v>
      </c>
      <c r="F18" s="176">
        <f>COUNTIFS(Datos!$I$3:$I$111,A18,Datos!$M$3:$M$111,"En Reparación")</f>
        <v>0</v>
      </c>
      <c r="G18" s="203" t="s">
        <v>115</v>
      </c>
      <c r="H18" s="203" t="s">
        <v>313</v>
      </c>
      <c r="I18" s="176" t="s">
        <v>529</v>
      </c>
      <c r="J18" s="176" t="s">
        <v>317</v>
      </c>
      <c r="K18" s="182" t="s">
        <v>148</v>
      </c>
    </row>
    <row r="19" spans="1:11" ht="20.149999999999999" customHeight="1" x14ac:dyDescent="0.35">
      <c r="A19" s="172" t="s">
        <v>530</v>
      </c>
      <c r="B19" s="173">
        <f>COUNTIF(Datos!$I$3:$I$111,A19)</f>
        <v>0</v>
      </c>
      <c r="C19" s="173">
        <f>COUNTIFS(Datos!$I$3:$I$111,A19,Datos!$M$3:$M$111,"Asignado")</f>
        <v>0</v>
      </c>
      <c r="D19" s="173">
        <f>COUNTIFS(Datos!$I$3:$I$111,A19,Datos!$M$3:$M$111,"Disponible")</f>
        <v>0</v>
      </c>
      <c r="E19" s="173">
        <f>COUNTIFS(Datos!$I$3:$I$111,A19,Datos!$M$3:$M$111,"Back Up")</f>
        <v>0</v>
      </c>
      <c r="F19" s="173">
        <f>COUNTIFS(Datos!$I$3:$I$111,A19,Datos!$M$3:$M$111,"En Reparación")</f>
        <v>0</v>
      </c>
      <c r="G19" s="202" t="s">
        <v>119</v>
      </c>
      <c r="H19" s="202" t="s">
        <v>152</v>
      </c>
      <c r="I19" s="173" t="s">
        <v>35</v>
      </c>
      <c r="J19" s="173" t="s">
        <v>82</v>
      </c>
      <c r="K19" s="191" t="s">
        <v>82</v>
      </c>
    </row>
    <row r="20" spans="1:11" ht="20.149999999999999" customHeight="1" x14ac:dyDescent="0.35">
      <c r="A20" s="175" t="s">
        <v>390</v>
      </c>
      <c r="B20" s="176">
        <f>COUNTIF(Datos!$I$3:$I$111,A20)</f>
        <v>0</v>
      </c>
      <c r="C20" s="176">
        <f>COUNTIFS(Datos!$I$3:$I$111,A20,Datos!$M$3:$M$111,"Asignado")</f>
        <v>0</v>
      </c>
      <c r="D20" s="176">
        <f>COUNTIFS(Datos!$I$3:$I$111,A20,Datos!$M$3:$M$111,"Disponible")</f>
        <v>0</v>
      </c>
      <c r="E20" s="176">
        <f>COUNTIFS(Datos!$I$3:$I$111,A20,Datos!$M$3:$M$111,"Back Up")</f>
        <v>0</v>
      </c>
      <c r="F20" s="176">
        <f>COUNTIFS(Datos!$I$3:$I$111,A20,Datos!$M$3:$M$111,"En Reparación")</f>
        <v>0</v>
      </c>
      <c r="G20" s="203" t="s">
        <v>506</v>
      </c>
      <c r="H20" s="203" t="s">
        <v>507</v>
      </c>
      <c r="I20" s="176" t="s">
        <v>531</v>
      </c>
      <c r="J20" s="176" t="s">
        <v>149</v>
      </c>
      <c r="K20" s="182" t="s">
        <v>148</v>
      </c>
    </row>
    <row r="21" spans="1:11" ht="20.149999999999999" customHeight="1" x14ac:dyDescent="0.35">
      <c r="A21" s="172" t="s">
        <v>71</v>
      </c>
      <c r="B21" s="173">
        <f>COUNTIF(Datos!$I$3:$I$111,A21)</f>
        <v>0</v>
      </c>
      <c r="C21" s="173">
        <f>COUNTIFS(Datos!$I$3:$I$111,A21,Datos!$M$3:$M$111,"Asignado")</f>
        <v>0</v>
      </c>
      <c r="D21" s="173">
        <f>COUNTIFS(Datos!$I$3:$I$111,A21,Datos!$M$3:$M$111,"Disponible")</f>
        <v>0</v>
      </c>
      <c r="E21" s="173">
        <f>COUNTIFS(Datos!$I$3:$I$111,A21,Datos!$M$3:$M$111,"Back Up")</f>
        <v>0</v>
      </c>
      <c r="F21" s="173">
        <f>COUNTIFS(Datos!$I$3:$I$111,A21,Datos!$M$3:$M$111,"En Reparación")</f>
        <v>0</v>
      </c>
      <c r="G21" s="202" t="s">
        <v>117</v>
      </c>
      <c r="H21" s="202" t="s">
        <v>152</v>
      </c>
      <c r="I21" s="173" t="s">
        <v>532</v>
      </c>
      <c r="J21" s="173" t="s">
        <v>149</v>
      </c>
      <c r="K21" s="182" t="s">
        <v>148</v>
      </c>
    </row>
    <row r="22" spans="1:11" ht="20.149999999999999" customHeight="1" x14ac:dyDescent="0.35">
      <c r="A22" s="175" t="s">
        <v>533</v>
      </c>
      <c r="B22" s="176">
        <f>COUNTIF(Datos!$I$3:$I$111,A22)</f>
        <v>0</v>
      </c>
      <c r="C22" s="176">
        <f>COUNTIFS(Datos!$I$3:$I$111,A22,Datos!$M$3:$M$111,"Asignado")</f>
        <v>0</v>
      </c>
      <c r="D22" s="176">
        <f>COUNTIFS(Datos!$I$3:$I$111,A22,Datos!$M$3:$M$111,"Disponible")</f>
        <v>0</v>
      </c>
      <c r="E22" s="176">
        <f>COUNTIFS(Datos!$I$3:$I$111,A22,Datos!$M$3:$M$111,"Back Up")</f>
        <v>0</v>
      </c>
      <c r="F22" s="176">
        <f>COUNTIFS(Datos!$I$3:$I$111,A22,Datos!$M$3:$M$111,"En Reparación")</f>
        <v>0</v>
      </c>
      <c r="G22" s="203" t="s">
        <v>119</v>
      </c>
      <c r="H22" s="203" t="s">
        <v>152</v>
      </c>
      <c r="I22" s="176" t="s">
        <v>37</v>
      </c>
      <c r="J22" s="176" t="s">
        <v>76</v>
      </c>
      <c r="K22" s="188" t="s">
        <v>76</v>
      </c>
    </row>
    <row r="23" spans="1:11" ht="20.149999999999999" customHeight="1" x14ac:dyDescent="0.35">
      <c r="A23" s="172" t="s">
        <v>534</v>
      </c>
      <c r="B23" s="173">
        <f>COUNTIF(Datos!$I$3:$I$111,A23)</f>
        <v>0</v>
      </c>
      <c r="C23" s="173">
        <f>COUNTIFS(Datos!$I$3:$I$111,A23,Datos!$M$3:$M$111,"Asignado")</f>
        <v>0</v>
      </c>
      <c r="D23" s="173">
        <f>COUNTIFS(Datos!$I$3:$I$111,A23,Datos!$M$3:$M$111,"Disponible")</f>
        <v>0</v>
      </c>
      <c r="E23" s="173">
        <f>COUNTIFS(Datos!$I$3:$I$111,A23,Datos!$M$3:$M$111,"Back Up")</f>
        <v>0</v>
      </c>
      <c r="F23" s="173">
        <f>COUNTIFS(Datos!$I$3:$I$111,A23,Datos!$M$3:$M$111,"En Reparación")</f>
        <v>0</v>
      </c>
      <c r="G23" s="202" t="s">
        <v>119</v>
      </c>
      <c r="H23" s="202" t="s">
        <v>152</v>
      </c>
      <c r="I23" s="173" t="s">
        <v>535</v>
      </c>
      <c r="J23" s="173" t="s">
        <v>76</v>
      </c>
      <c r="K23" s="188" t="s">
        <v>76</v>
      </c>
    </row>
    <row r="24" spans="1:11" ht="20.149999999999999" customHeight="1" x14ac:dyDescent="0.35">
      <c r="A24" s="175" t="s">
        <v>536</v>
      </c>
      <c r="B24" s="176">
        <f>COUNTIF(Datos!$I$3:$I$111,A24)</f>
        <v>0</v>
      </c>
      <c r="C24" s="176">
        <f>COUNTIFS(Datos!$I$3:$I$111,A24,Datos!$M$3:$M$111,"Asignado")</f>
        <v>0</v>
      </c>
      <c r="D24" s="176">
        <f>COUNTIFS(Datos!$I$3:$I$111,A24,Datos!$M$3:$M$111,"Disponible")</f>
        <v>0</v>
      </c>
      <c r="E24" s="176">
        <f>COUNTIFS(Datos!$I$3:$I$111,A24,Datos!$M$3:$M$111,"Back Up")</f>
        <v>0</v>
      </c>
      <c r="F24" s="176">
        <f>COUNTIFS(Datos!$I$3:$I$111,A24,Datos!$M$3:$M$111,"En Reparación")</f>
        <v>0</v>
      </c>
      <c r="G24" s="203" t="s">
        <v>118</v>
      </c>
      <c r="H24" s="203" t="s">
        <v>152</v>
      </c>
      <c r="I24" s="176" t="s">
        <v>38</v>
      </c>
      <c r="J24" s="176" t="s">
        <v>76</v>
      </c>
      <c r="K24" s="188" t="s">
        <v>76</v>
      </c>
    </row>
    <row r="25" spans="1:11" ht="20.149999999999999" customHeight="1" x14ac:dyDescent="0.35">
      <c r="A25" s="172" t="s">
        <v>537</v>
      </c>
      <c r="B25" s="173">
        <f>COUNTIF(Datos!$I$3:$I$111,A25)</f>
        <v>1</v>
      </c>
      <c r="C25" s="173">
        <f>COUNTIFS(Datos!$I$3:$I$111,A25,Datos!$M$3:$M$111,"Asignado")</f>
        <v>1</v>
      </c>
      <c r="D25" s="173">
        <f>COUNTIFS(Datos!$I$3:$I$111,A25,Datos!$M$3:$M$111,"Disponible")</f>
        <v>0</v>
      </c>
      <c r="E25" s="173">
        <f>COUNTIFS(Datos!$I$3:$I$111,A25,Datos!$M$3:$M$111,"Back Up")</f>
        <v>0</v>
      </c>
      <c r="F25" s="173">
        <f>COUNTIFS(Datos!$I$3:$I$111,A25,Datos!$M$3:$M$111,"En Reparación")</f>
        <v>0</v>
      </c>
      <c r="G25" s="202" t="s">
        <v>117</v>
      </c>
      <c r="H25" s="202" t="s">
        <v>152</v>
      </c>
      <c r="I25" s="173" t="s">
        <v>535</v>
      </c>
      <c r="J25" s="173" t="s">
        <v>149</v>
      </c>
      <c r="K25" s="182" t="s">
        <v>148</v>
      </c>
    </row>
    <row r="26" spans="1:11" ht="20.149999999999999" customHeight="1" x14ac:dyDescent="0.35">
      <c r="A26" s="175" t="s">
        <v>538</v>
      </c>
      <c r="B26" s="176">
        <f>COUNTIF(Datos!$I$3:$I$111,A26)</f>
        <v>0</v>
      </c>
      <c r="C26" s="176">
        <f>COUNTIFS(Datos!$I$3:$I$111,A26,Datos!$M$3:$M$111,"Asignado")</f>
        <v>0</v>
      </c>
      <c r="D26" s="176">
        <f>COUNTIFS(Datos!$I$3:$I$111,A26,Datos!$M$3:$M$111,"Disponible")</f>
        <v>0</v>
      </c>
      <c r="E26" s="176">
        <f>COUNTIFS(Datos!$I$3:$I$111,A26,Datos!$M$3:$M$111,"Back Up")</f>
        <v>0</v>
      </c>
      <c r="F26" s="176">
        <f>COUNTIFS(Datos!$I$3:$I$111,A26,Datos!$M$3:$M$111,"En Reparación")</f>
        <v>0</v>
      </c>
      <c r="G26" s="203" t="s">
        <v>119</v>
      </c>
      <c r="H26" s="203" t="s">
        <v>152</v>
      </c>
      <c r="I26" s="176" t="s">
        <v>35</v>
      </c>
      <c r="J26" s="176" t="s">
        <v>76</v>
      </c>
      <c r="K26" s="188" t="s">
        <v>76</v>
      </c>
    </row>
    <row r="27" spans="1:11" ht="20.149999999999999" customHeight="1" x14ac:dyDescent="0.35">
      <c r="A27" s="172" t="s">
        <v>539</v>
      </c>
      <c r="B27" s="173">
        <f>COUNTIF(Datos!$I$3:$I$111,A27)</f>
        <v>0</v>
      </c>
      <c r="C27" s="173">
        <f>COUNTIFS(Datos!$I$3:$I$111,A27,Datos!$M$3:$M$111,"Asignado")</f>
        <v>0</v>
      </c>
      <c r="D27" s="173">
        <f>COUNTIFS(Datos!$I$3:$I$111,A27,Datos!$M$3:$M$111,"Disponible")</f>
        <v>0</v>
      </c>
      <c r="E27" s="173">
        <f>COUNTIFS(Datos!$I$3:$I$111,A27,Datos!$M$3:$M$111,"Back Up")</f>
        <v>0</v>
      </c>
      <c r="F27" s="173">
        <f>COUNTIFS(Datos!$I$3:$I$111,A27,Datos!$M$3:$M$111,"En Reparación")</f>
        <v>0</v>
      </c>
      <c r="G27" s="202" t="s">
        <v>116</v>
      </c>
      <c r="H27" s="202" t="s">
        <v>313</v>
      </c>
      <c r="I27" s="173" t="s">
        <v>35</v>
      </c>
      <c r="J27" s="173" t="s">
        <v>76</v>
      </c>
      <c r="K27" s="188" t="s">
        <v>76</v>
      </c>
    </row>
    <row r="28" spans="1:11" ht="20.149999999999999" customHeight="1" x14ac:dyDescent="0.35">
      <c r="A28" s="175" t="s">
        <v>540</v>
      </c>
      <c r="B28" s="176">
        <f>COUNTIF(Datos!$I$3:$I$111,A28)</f>
        <v>0</v>
      </c>
      <c r="C28" s="176">
        <f>COUNTIFS(Datos!$I$3:$I$111,A28,Datos!$M$3:$M$111,"Asignado")</f>
        <v>0</v>
      </c>
      <c r="D28" s="176">
        <f>COUNTIFS(Datos!$I$3:$I$111,A28,Datos!$M$3:$M$111,"Disponible")</f>
        <v>0</v>
      </c>
      <c r="E28" s="176">
        <f>COUNTIFS(Datos!$I$3:$I$111,A28,Datos!$M$3:$M$111,"Back Up")</f>
        <v>0</v>
      </c>
      <c r="F28" s="176">
        <f>COUNTIFS(Datos!$I$3:$I$111,A28,Datos!$M$3:$M$111,"En Reparación")</f>
        <v>0</v>
      </c>
      <c r="G28" s="203" t="s">
        <v>117</v>
      </c>
      <c r="H28" s="203" t="s">
        <v>152</v>
      </c>
      <c r="I28" s="176" t="s">
        <v>37</v>
      </c>
      <c r="J28" s="176" t="s">
        <v>149</v>
      </c>
      <c r="K28" s="182" t="s">
        <v>148</v>
      </c>
    </row>
    <row r="29" spans="1:11" ht="20.149999999999999" customHeight="1" x14ac:dyDescent="0.35">
      <c r="A29" s="172" t="s">
        <v>308</v>
      </c>
      <c r="B29" s="173">
        <f>COUNTIF(Datos!$I$3:$I$111,A29)</f>
        <v>0</v>
      </c>
      <c r="C29" s="173">
        <f>COUNTIFS(Datos!$I$3:$I$111,A29,Datos!$M$3:$M$111,"Asignado")</f>
        <v>0</v>
      </c>
      <c r="D29" s="173">
        <f>COUNTIFS(Datos!$I$3:$I$111,A29,Datos!$M$3:$M$111,"Disponible")</f>
        <v>0</v>
      </c>
      <c r="E29" s="173">
        <f>COUNTIFS(Datos!$I$3:$I$111,A29,Datos!$M$3:$M$111,"Back Up")</f>
        <v>0</v>
      </c>
      <c r="F29" s="173">
        <f>COUNTIFS(Datos!$I$3:$I$111,A29,Datos!$M$3:$M$111,"En Reparación")</f>
        <v>0</v>
      </c>
      <c r="G29" s="202" t="s">
        <v>117</v>
      </c>
      <c r="H29" s="202" t="s">
        <v>152</v>
      </c>
      <c r="I29" s="173" t="s">
        <v>38</v>
      </c>
      <c r="J29" s="173" t="s">
        <v>149</v>
      </c>
      <c r="K29" s="182" t="s">
        <v>148</v>
      </c>
    </row>
    <row r="30" spans="1:11" ht="20.149999999999999" customHeight="1" x14ac:dyDescent="0.35">
      <c r="A30" s="175" t="s">
        <v>541</v>
      </c>
      <c r="B30" s="176">
        <f>COUNTIF(Datos!$I$3:$I$111,A30)</f>
        <v>0</v>
      </c>
      <c r="C30" s="176">
        <f>COUNTIFS(Datos!$I$3:$I$111,A30,Datos!$M$3:$M$111,"Asignado")</f>
        <v>0</v>
      </c>
      <c r="D30" s="176">
        <f>COUNTIFS(Datos!$I$3:$I$111,A30,Datos!$M$3:$M$111,"Disponible")</f>
        <v>0</v>
      </c>
      <c r="E30" s="176">
        <f>COUNTIFS(Datos!$I$3:$I$111,A30,Datos!$M$3:$M$111,"Back Up")</f>
        <v>0</v>
      </c>
      <c r="F30" s="176">
        <f>COUNTIFS(Datos!$I$3:$I$111,A30,Datos!$M$3:$M$111,"En Reparación")</f>
        <v>0</v>
      </c>
      <c r="G30" s="203" t="s">
        <v>118</v>
      </c>
      <c r="H30" s="203" t="s">
        <v>152</v>
      </c>
      <c r="I30" s="176" t="s">
        <v>535</v>
      </c>
      <c r="J30" s="176" t="s">
        <v>149</v>
      </c>
      <c r="K30" s="182" t="s">
        <v>148</v>
      </c>
    </row>
    <row r="31" spans="1:11" ht="20.149999999999999" customHeight="1" x14ac:dyDescent="0.35">
      <c r="A31" s="172" t="s">
        <v>542</v>
      </c>
      <c r="B31" s="173">
        <f>COUNTIF(Datos!$I$3:$I$111,A31)</f>
        <v>0</v>
      </c>
      <c r="C31" s="173">
        <f>COUNTIFS(Datos!$I$3:$I$111,A31,Datos!$M$3:$M$111,"Asignado")</f>
        <v>0</v>
      </c>
      <c r="D31" s="173">
        <f>COUNTIFS(Datos!$I$3:$I$111,A31,Datos!$M$3:$M$111,"Disponible")</f>
        <v>0</v>
      </c>
      <c r="E31" s="173">
        <f>COUNTIFS(Datos!$I$3:$I$111,A31,Datos!$M$3:$M$111,"Back Up")</f>
        <v>0</v>
      </c>
      <c r="F31" s="173">
        <f>COUNTIFS(Datos!$I$3:$I$111,A31,Datos!$M$3:$M$111,"En Reparación")</f>
        <v>0</v>
      </c>
      <c r="G31" s="202" t="s">
        <v>114</v>
      </c>
      <c r="H31" s="202" t="s">
        <v>144</v>
      </c>
      <c r="I31" s="173" t="s">
        <v>36</v>
      </c>
      <c r="J31" s="173" t="s">
        <v>317</v>
      </c>
      <c r="K31" s="182" t="s">
        <v>148</v>
      </c>
    </row>
    <row r="32" spans="1:11" ht="20.149999999999999" customHeight="1" x14ac:dyDescent="0.35">
      <c r="A32" s="175" t="s">
        <v>331</v>
      </c>
      <c r="B32" s="176">
        <f>COUNTIF(Datos!$I$3:$I$111,A32)</f>
        <v>0</v>
      </c>
      <c r="C32" s="176">
        <f>COUNTIFS(Datos!$I$3:$I$111,A32,Datos!$M$3:$M$111,"Asignado")</f>
        <v>0</v>
      </c>
      <c r="D32" s="176">
        <f>COUNTIFS(Datos!$I$3:$I$111,A32,Datos!$M$3:$M$111,"Disponible")</f>
        <v>0</v>
      </c>
      <c r="E32" s="176">
        <f>COUNTIFS(Datos!$I$3:$I$111,A32,Datos!$M$3:$M$111,"Back Up")</f>
        <v>0</v>
      </c>
      <c r="F32" s="176">
        <f>COUNTIFS(Datos!$I$3:$I$111,A32,Datos!$M$3:$M$111,"En Reparación")</f>
        <v>0</v>
      </c>
      <c r="G32" s="203" t="s">
        <v>116</v>
      </c>
      <c r="H32" s="203" t="s">
        <v>313</v>
      </c>
      <c r="I32" s="176" t="s">
        <v>535</v>
      </c>
      <c r="J32" s="176" t="s">
        <v>317</v>
      </c>
      <c r="K32" s="182" t="s">
        <v>148</v>
      </c>
    </row>
    <row r="33" spans="1:11" ht="20.149999999999999" customHeight="1" x14ac:dyDescent="0.35">
      <c r="A33" s="172" t="s">
        <v>543</v>
      </c>
      <c r="B33" s="173">
        <f>COUNTIF(Datos!$I$3:$I$111,A33)</f>
        <v>0</v>
      </c>
      <c r="C33" s="173">
        <f>COUNTIFS(Datos!$I$3:$I$111,A33,Datos!$M$3:$M$111,"Asignado")</f>
        <v>0</v>
      </c>
      <c r="D33" s="173">
        <f>COUNTIFS(Datos!$I$3:$I$111,A33,Datos!$M$3:$M$111,"Disponible")</f>
        <v>0</v>
      </c>
      <c r="E33" s="173">
        <f>COUNTIFS(Datos!$I$3:$I$111,A33,Datos!$M$3:$M$111,"Back Up")</f>
        <v>0</v>
      </c>
      <c r="F33" s="173">
        <f>COUNTIFS(Datos!$I$3:$I$111,A33,Datos!$M$3:$M$111,"En Reparación")</f>
        <v>0</v>
      </c>
      <c r="G33" s="202" t="s">
        <v>114</v>
      </c>
      <c r="H33" s="202" t="s">
        <v>313</v>
      </c>
      <c r="I33" s="173" t="s">
        <v>527</v>
      </c>
      <c r="J33" s="173" t="s">
        <v>317</v>
      </c>
      <c r="K33" s="182" t="s">
        <v>148</v>
      </c>
    </row>
    <row r="34" spans="1:11" ht="20.149999999999999" customHeight="1" x14ac:dyDescent="0.35">
      <c r="A34" s="175" t="s">
        <v>544</v>
      </c>
      <c r="B34" s="176">
        <f>COUNTIF(Datos!$I$3:$I$111,A34)</f>
        <v>0</v>
      </c>
      <c r="C34" s="176">
        <f>COUNTIFS(Datos!$I$3:$I$111,A34,Datos!$M$3:$M$111,"Asignado")</f>
        <v>0</v>
      </c>
      <c r="D34" s="176">
        <f>COUNTIFS(Datos!$I$3:$I$111,A34,Datos!$M$3:$M$111,"Disponible")</f>
        <v>0</v>
      </c>
      <c r="E34" s="176">
        <f>COUNTIFS(Datos!$I$3:$I$111,A34,Datos!$M$3:$M$111,"Back Up")</f>
        <v>0</v>
      </c>
      <c r="F34" s="176">
        <f>COUNTIFS(Datos!$I$3:$I$111,A34,Datos!$M$3:$M$111,"En Reparación")</f>
        <v>0</v>
      </c>
      <c r="G34" s="203" t="s">
        <v>118</v>
      </c>
      <c r="H34" s="203" t="s">
        <v>152</v>
      </c>
      <c r="I34" s="176" t="s">
        <v>37</v>
      </c>
      <c r="J34" s="176" t="s">
        <v>149</v>
      </c>
      <c r="K34" s="182" t="s">
        <v>148</v>
      </c>
    </row>
    <row r="35" spans="1:11" ht="20.149999999999999" customHeight="1" x14ac:dyDescent="0.35">
      <c r="A35" s="172" t="s">
        <v>545</v>
      </c>
      <c r="B35" s="173">
        <f>COUNTIF(Datos!$I$3:$I$111,A35)</f>
        <v>1</v>
      </c>
      <c r="C35" s="173">
        <f>COUNTIFS(Datos!$I$3:$I$111,A35,Datos!$M$3:$M$111,"Asignado")</f>
        <v>1</v>
      </c>
      <c r="D35" s="173">
        <f>COUNTIFS(Datos!$I$3:$I$111,A35,Datos!$M$3:$M$111,"Disponible")</f>
        <v>0</v>
      </c>
      <c r="E35" s="173">
        <f>COUNTIFS(Datos!$I$3:$I$111,A35,Datos!$M$3:$M$111,"Back Up")</f>
        <v>0</v>
      </c>
      <c r="F35" s="173">
        <f>COUNTIFS(Datos!$I$3:$I$111,A35,Datos!$M$3:$M$111,"En Reparación")</f>
        <v>0</v>
      </c>
      <c r="G35" s="202" t="s">
        <v>117</v>
      </c>
      <c r="H35" s="202" t="s">
        <v>152</v>
      </c>
      <c r="I35" s="173" t="s">
        <v>527</v>
      </c>
      <c r="J35" s="173" t="s">
        <v>149</v>
      </c>
      <c r="K35" s="182" t="s">
        <v>148</v>
      </c>
    </row>
    <row r="36" spans="1:11" ht="20.149999999999999" customHeight="1" x14ac:dyDescent="0.35">
      <c r="A36" s="175" t="s">
        <v>546</v>
      </c>
      <c r="B36" s="176">
        <f>COUNTIF(Datos!$I$3:$I$111,A36)</f>
        <v>1</v>
      </c>
      <c r="C36" s="176">
        <f>COUNTIFS(Datos!$I$3:$I$111,A36,Datos!$M$3:$M$111,"Asignado")</f>
        <v>1</v>
      </c>
      <c r="D36" s="176">
        <f>COUNTIFS(Datos!$I$3:$I$111,A36,Datos!$M$3:$M$111,"Disponible")</f>
        <v>0</v>
      </c>
      <c r="E36" s="176">
        <f>COUNTIFS(Datos!$I$3:$I$111,A36,Datos!$M$3:$M$111,"Back Up")</f>
        <v>0</v>
      </c>
      <c r="F36" s="176">
        <f>COUNTIFS(Datos!$I$3:$I$111,A36,Datos!$M$3:$M$111,"En Reparación")</f>
        <v>0</v>
      </c>
      <c r="G36" s="203" t="s">
        <v>117</v>
      </c>
      <c r="H36" s="203" t="s">
        <v>152</v>
      </c>
      <c r="I36" s="176" t="s">
        <v>36</v>
      </c>
      <c r="J36" s="176" t="s">
        <v>149</v>
      </c>
      <c r="K36" s="182" t="s">
        <v>148</v>
      </c>
    </row>
    <row r="37" spans="1:11" ht="20.149999999999999" customHeight="1" x14ac:dyDescent="0.35">
      <c r="A37" s="172" t="s">
        <v>120</v>
      </c>
      <c r="B37" s="173">
        <f>COUNTIF(Datos!$I$3:$I$111,A37)</f>
        <v>3</v>
      </c>
      <c r="C37" s="173">
        <f>COUNTIFS(Datos!$I$3:$I$111,A37,Datos!$M$3:$M$111,"Asignado")</f>
        <v>2</v>
      </c>
      <c r="D37" s="173">
        <f>COUNTIFS(Datos!$I$3:$I$111,A37,Datos!$M$3:$M$111,"Disponible")</f>
        <v>0</v>
      </c>
      <c r="E37" s="173">
        <f>COUNTIFS(Datos!$I$3:$I$111,A37,Datos!$M$3:$M$111,"Back Up")</f>
        <v>1</v>
      </c>
      <c r="F37" s="173">
        <f>COUNTIFS(Datos!$I$3:$I$111,A37,Datos!$M$3:$M$111,"En Reparación")</f>
        <v>0</v>
      </c>
      <c r="G37" s="202" t="s">
        <v>118</v>
      </c>
      <c r="H37" s="202" t="s">
        <v>152</v>
      </c>
      <c r="I37" s="173" t="s">
        <v>527</v>
      </c>
      <c r="J37" s="173" t="s">
        <v>149</v>
      </c>
      <c r="K37" s="182" t="s">
        <v>148</v>
      </c>
    </row>
    <row r="38" spans="1:11" ht="20.149999999999999" customHeight="1" x14ac:dyDescent="0.35">
      <c r="A38" s="175" t="s">
        <v>547</v>
      </c>
      <c r="B38" s="176">
        <f>COUNTIF(Datos!$I$3:$I$111,A38)</f>
        <v>0</v>
      </c>
      <c r="C38" s="176">
        <f>COUNTIFS(Datos!$I$3:$I$111,A38,Datos!$M$3:$M$111,"Asignado")</f>
        <v>0</v>
      </c>
      <c r="D38" s="176">
        <f>COUNTIFS(Datos!$I$3:$I$111,A38,Datos!$M$3:$M$111,"Disponible")</f>
        <v>0</v>
      </c>
      <c r="E38" s="176">
        <f>COUNTIFS(Datos!$I$3:$I$111,A38,Datos!$M$3:$M$111,"Back Up")</f>
        <v>0</v>
      </c>
      <c r="F38" s="176">
        <f>COUNTIFS(Datos!$I$3:$I$111,A38,Datos!$M$3:$M$111,"En Reparación")</f>
        <v>0</v>
      </c>
      <c r="G38" s="203" t="s">
        <v>114</v>
      </c>
      <c r="H38" s="203" t="s">
        <v>313</v>
      </c>
      <c r="I38" s="176" t="s">
        <v>38</v>
      </c>
      <c r="J38" s="176" t="s">
        <v>317</v>
      </c>
      <c r="K38" s="182" t="s">
        <v>148</v>
      </c>
    </row>
    <row r="39" spans="1:11" ht="20.149999999999999" customHeight="1" x14ac:dyDescent="0.35">
      <c r="A39" s="172" t="s">
        <v>548</v>
      </c>
      <c r="B39" s="173">
        <f>COUNTIF(Datos!$I$3:$I$111,A39)</f>
        <v>1</v>
      </c>
      <c r="C39" s="173">
        <f>COUNTIFS(Datos!$I$3:$I$111,A39,Datos!$M$3:$M$111,"Asignado")</f>
        <v>1</v>
      </c>
      <c r="D39" s="173">
        <f>COUNTIFS(Datos!$I$3:$I$111,A39,Datos!$M$3:$M$111,"Disponible")</f>
        <v>0</v>
      </c>
      <c r="E39" s="173">
        <f>COUNTIFS(Datos!$I$3:$I$111,A39,Datos!$M$3:$M$111,"Back Up")</f>
        <v>0</v>
      </c>
      <c r="F39" s="173">
        <f>COUNTIFS(Datos!$I$3:$I$111,A39,Datos!$M$3:$M$111,"En Reparación")</f>
        <v>0</v>
      </c>
      <c r="G39" s="202" t="s">
        <v>117</v>
      </c>
      <c r="H39" s="202" t="s">
        <v>152</v>
      </c>
      <c r="I39" s="173" t="s">
        <v>535</v>
      </c>
      <c r="J39" s="173" t="s">
        <v>149</v>
      </c>
      <c r="K39" s="182" t="s">
        <v>148</v>
      </c>
    </row>
    <row r="40" spans="1:11" ht="20.149999999999999" customHeight="1" x14ac:dyDescent="0.35">
      <c r="A40" s="175" t="s">
        <v>549</v>
      </c>
      <c r="B40" s="176">
        <f>COUNTIF(Datos!$I$3:$I$111,A40)</f>
        <v>0</v>
      </c>
      <c r="C40" s="176">
        <f>COUNTIFS(Datos!$I$3:$I$111,A40,Datos!$M$3:$M$111,"Asignado")</f>
        <v>0</v>
      </c>
      <c r="D40" s="176">
        <f>COUNTIFS(Datos!$I$3:$I$111,A40,Datos!$M$3:$M$111,"Disponible")</f>
        <v>0</v>
      </c>
      <c r="E40" s="176">
        <f>COUNTIFS(Datos!$I$3:$I$111,A40,Datos!$M$3:$M$111,"Back Up")</f>
        <v>0</v>
      </c>
      <c r="F40" s="176">
        <f>COUNTIFS(Datos!$I$3:$I$111,A40,Datos!$M$3:$M$111,"En Reparación")</f>
        <v>0</v>
      </c>
      <c r="G40" s="203" t="s">
        <v>119</v>
      </c>
      <c r="H40" s="203" t="s">
        <v>152</v>
      </c>
      <c r="I40" s="176" t="s">
        <v>535</v>
      </c>
      <c r="J40" s="176" t="s">
        <v>149</v>
      </c>
      <c r="K40" s="182" t="s">
        <v>148</v>
      </c>
    </row>
    <row r="41" spans="1:11" ht="20.149999999999999" customHeight="1" x14ac:dyDescent="0.35">
      <c r="A41" s="172" t="s">
        <v>550</v>
      </c>
      <c r="B41" s="173">
        <f>COUNTIF(Datos!$I$3:$I$111,A41)</f>
        <v>0</v>
      </c>
      <c r="C41" s="173">
        <f>COUNTIFS(Datos!$I$3:$I$111,A41,Datos!$M$3:$M$111,"Asignado")</f>
        <v>0</v>
      </c>
      <c r="D41" s="173">
        <f>COUNTIFS(Datos!$I$3:$I$111,A41,Datos!$M$3:$M$111,"Disponible")</f>
        <v>0</v>
      </c>
      <c r="E41" s="173">
        <f>COUNTIFS(Datos!$I$3:$I$111,A41,Datos!$M$3:$M$111,"Back Up")</f>
        <v>0</v>
      </c>
      <c r="F41" s="173">
        <f>COUNTIFS(Datos!$I$3:$I$111,A41,Datos!$M$3:$M$111,"En Reparación")</f>
        <v>0</v>
      </c>
      <c r="G41" s="202" t="s">
        <v>114</v>
      </c>
      <c r="H41" s="202" t="s">
        <v>313</v>
      </c>
      <c r="I41" s="173" t="s">
        <v>527</v>
      </c>
      <c r="J41" s="173" t="s">
        <v>317</v>
      </c>
      <c r="K41" s="182" t="s">
        <v>148</v>
      </c>
    </row>
    <row r="42" spans="1:11" ht="20.149999999999999" customHeight="1" x14ac:dyDescent="0.35">
      <c r="A42" s="175" t="s">
        <v>551</v>
      </c>
      <c r="B42" s="176">
        <f>COUNTIF(Datos!$I$3:$I$111,A42)</f>
        <v>0</v>
      </c>
      <c r="C42" s="176">
        <f>COUNTIFS(Datos!$I$3:$I$111,A42,Datos!$M$3:$M$111,"Asignado")</f>
        <v>0</v>
      </c>
      <c r="D42" s="176">
        <f>COUNTIFS(Datos!$I$3:$I$111,A42,Datos!$M$3:$M$111,"Disponible")</f>
        <v>0</v>
      </c>
      <c r="E42" s="176">
        <f>COUNTIFS(Datos!$I$3:$I$111,A42,Datos!$M$3:$M$111,"Back Up")</f>
        <v>0</v>
      </c>
      <c r="F42" s="176">
        <f>COUNTIFS(Datos!$I$3:$I$111,A42,Datos!$M$3:$M$111,"En Reparación")</f>
        <v>0</v>
      </c>
      <c r="G42" s="203" t="s">
        <v>114</v>
      </c>
      <c r="H42" s="203" t="s">
        <v>313</v>
      </c>
      <c r="I42" s="176" t="s">
        <v>535</v>
      </c>
      <c r="J42" s="176" t="s">
        <v>317</v>
      </c>
      <c r="K42" s="182" t="s">
        <v>148</v>
      </c>
    </row>
    <row r="43" spans="1:11" ht="20.149999999999999" customHeight="1" x14ac:dyDescent="0.35">
      <c r="A43" s="172" t="s">
        <v>552</v>
      </c>
      <c r="B43" s="173">
        <f>COUNTIF(Datos!$I$3:$I$111,A43)</f>
        <v>0</v>
      </c>
      <c r="C43" s="173">
        <f>COUNTIFS(Datos!$I$3:$I$111,A43,Datos!$M$3:$M$111,"Asignado")</f>
        <v>0</v>
      </c>
      <c r="D43" s="173">
        <f>COUNTIFS(Datos!$I$3:$I$111,A43,Datos!$M$3:$M$111,"Disponible")</f>
        <v>0</v>
      </c>
      <c r="E43" s="173">
        <f>COUNTIFS(Datos!$I$3:$I$111,A43,Datos!$M$3:$M$111,"Back Up")</f>
        <v>0</v>
      </c>
      <c r="F43" s="173">
        <f>COUNTIFS(Datos!$I$3:$I$111,A43,Datos!$M$3:$M$111,"En Reparación")</f>
        <v>0</v>
      </c>
      <c r="G43" s="202" t="s">
        <v>116</v>
      </c>
      <c r="H43" s="202" t="s">
        <v>313</v>
      </c>
      <c r="I43" s="173" t="s">
        <v>38</v>
      </c>
      <c r="J43" s="173" t="s">
        <v>149</v>
      </c>
      <c r="K43" s="182" t="s">
        <v>148</v>
      </c>
    </row>
    <row r="44" spans="1:11" ht="20.149999999999999" customHeight="1" x14ac:dyDescent="0.35">
      <c r="A44" s="204" t="s">
        <v>25</v>
      </c>
      <c r="B44" s="204">
        <f>SUM(B5:B43)</f>
        <v>56</v>
      </c>
      <c r="C44" s="204">
        <f>SUM(C5:C43)</f>
        <v>51</v>
      </c>
      <c r="D44" s="204">
        <f>SUM(D5:D43)</f>
        <v>0</v>
      </c>
      <c r="E44" s="204">
        <f>SUM(E5:E43)</f>
        <v>5</v>
      </c>
      <c r="F44" s="204">
        <f>SUM(F5:F43)</f>
        <v>0</v>
      </c>
      <c r="G44" s="205"/>
      <c r="H44" s="205"/>
      <c r="I44" s="205"/>
      <c r="J44" s="205"/>
      <c r="K44" s="205"/>
    </row>
  </sheetData>
  <sheetProtection algorithmName="SHA-512" hashValue="F0SY52I29Z/ByW4l0K62jw7Jwqb3TTjIWFcQqXd8mhb6TV/Dr3Ch43jf2+4XuwwltJBOoOjw4ggkdcHwyDylQA==" saltValue="6ejuCY89sS5OPslTTdy5KQ==" spinCount="100000" sheet="1" objects="1" scenarios="1"/>
  <autoFilter ref="A4:K43" xr:uid="{00000000-0009-0000-0000-000004000000}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756-6DC1-4D49-8BF0-C7F20567756F}">
  <dimension ref="A1:O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5" sqref="I15"/>
    </sheetView>
  </sheetViews>
  <sheetFormatPr baseColWidth="10" defaultColWidth="11.453125" defaultRowHeight="14.5" x14ac:dyDescent="0.35"/>
  <cols>
    <col min="1" max="1" width="28" bestFit="1" customWidth="1"/>
    <col min="2" max="2" width="13.453125" bestFit="1" customWidth="1"/>
    <col min="3" max="3" width="15.1796875" bestFit="1" customWidth="1"/>
    <col min="4" max="4" width="7.1796875" bestFit="1" customWidth="1"/>
    <col min="5" max="5" width="6.7265625" bestFit="1" customWidth="1"/>
    <col min="6" max="6" width="7.1796875" bestFit="1" customWidth="1"/>
    <col min="7" max="7" width="6.54296875" bestFit="1" customWidth="1"/>
    <col min="8" max="8" width="7.453125" bestFit="1" customWidth="1"/>
    <col min="9" max="9" width="6.54296875" bestFit="1" customWidth="1"/>
    <col min="10" max="10" width="6" bestFit="1" customWidth="1"/>
    <col min="11" max="11" width="6.81640625" bestFit="1" customWidth="1"/>
    <col min="12" max="12" width="7" bestFit="1" customWidth="1"/>
    <col min="13" max="13" width="6.54296875" bestFit="1" customWidth="1"/>
    <col min="14" max="14" width="7" bestFit="1" customWidth="1"/>
    <col min="15" max="15" width="6.453125" bestFit="1" customWidth="1"/>
  </cols>
  <sheetData>
    <row r="1" spans="1:15" s="168" customFormat="1" x14ac:dyDescent="0.35">
      <c r="A1" s="168" t="s">
        <v>130</v>
      </c>
      <c r="B1" s="168" t="s">
        <v>123</v>
      </c>
      <c r="C1" s="168" t="s">
        <v>553</v>
      </c>
      <c r="D1" s="169">
        <v>46023</v>
      </c>
      <c r="E1" s="169">
        <v>46054</v>
      </c>
      <c r="F1" s="169">
        <v>46082</v>
      </c>
      <c r="G1" s="169">
        <v>46113</v>
      </c>
      <c r="H1" s="169">
        <v>46143</v>
      </c>
      <c r="I1" s="169">
        <v>46174</v>
      </c>
      <c r="J1" s="169">
        <v>46204</v>
      </c>
      <c r="K1" s="169">
        <v>46235</v>
      </c>
      <c r="L1" s="169">
        <v>46266</v>
      </c>
      <c r="M1" s="169">
        <v>46296</v>
      </c>
      <c r="N1" s="169">
        <v>46327</v>
      </c>
      <c r="O1" s="169">
        <v>46357</v>
      </c>
    </row>
    <row r="2" spans="1:15" x14ac:dyDescent="0.35">
      <c r="A2" t="s">
        <v>554</v>
      </c>
      <c r="B2" t="s">
        <v>555</v>
      </c>
      <c r="C2" t="s">
        <v>556</v>
      </c>
      <c r="D2" s="170">
        <v>17</v>
      </c>
      <c r="E2">
        <v>17</v>
      </c>
      <c r="F2">
        <v>16</v>
      </c>
      <c r="G2">
        <v>16</v>
      </c>
      <c r="H2">
        <v>16</v>
      </c>
      <c r="I2">
        <v>16</v>
      </c>
      <c r="J2">
        <v>16</v>
      </c>
      <c r="K2" s="170">
        <v>15</v>
      </c>
      <c r="L2">
        <v>15</v>
      </c>
      <c r="M2">
        <v>15</v>
      </c>
      <c r="N2">
        <v>15</v>
      </c>
      <c r="O2">
        <v>15</v>
      </c>
    </row>
    <row r="3" spans="1:15" x14ac:dyDescent="0.35">
      <c r="A3" t="s">
        <v>557</v>
      </c>
      <c r="B3" t="s">
        <v>555</v>
      </c>
      <c r="C3" t="s">
        <v>556</v>
      </c>
      <c r="D3">
        <v>2</v>
      </c>
      <c r="E3">
        <v>2</v>
      </c>
      <c r="F3">
        <v>3</v>
      </c>
      <c r="G3">
        <v>3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</row>
    <row r="4" spans="1:15" x14ac:dyDescent="0.35">
      <c r="A4" t="s">
        <v>558</v>
      </c>
      <c r="B4" t="s">
        <v>555</v>
      </c>
      <c r="C4" t="s">
        <v>556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70</v>
      </c>
      <c r="B5" t="s">
        <v>555</v>
      </c>
      <c r="C5" t="s">
        <v>556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</row>
    <row r="6" spans="1:15" x14ac:dyDescent="0.35">
      <c r="A6" t="s">
        <v>73</v>
      </c>
      <c r="B6" t="s">
        <v>555</v>
      </c>
      <c r="C6" t="s">
        <v>556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A7" t="s">
        <v>75</v>
      </c>
      <c r="B7" t="s">
        <v>555</v>
      </c>
      <c r="C7" t="s">
        <v>556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35">
      <c r="A8" t="s">
        <v>559</v>
      </c>
      <c r="B8" t="s">
        <v>555</v>
      </c>
      <c r="C8" t="s">
        <v>560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5">
      <c r="A9" t="s">
        <v>160</v>
      </c>
      <c r="B9" t="s">
        <v>555</v>
      </c>
      <c r="C9" t="s">
        <v>561</v>
      </c>
      <c r="D9">
        <v>0</v>
      </c>
      <c r="E9">
        <v>0</v>
      </c>
      <c r="F9">
        <v>0</v>
      </c>
      <c r="G9">
        <v>0</v>
      </c>
      <c r="H9">
        <v>2</v>
      </c>
      <c r="I9">
        <v>3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</row>
    <row r="10" spans="1:15" x14ac:dyDescent="0.35">
      <c r="A10" t="s">
        <v>545</v>
      </c>
      <c r="B10" t="s">
        <v>555</v>
      </c>
      <c r="C10" t="s">
        <v>556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562</v>
      </c>
      <c r="B11" t="s">
        <v>555</v>
      </c>
      <c r="C11" t="s">
        <v>560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</row>
    <row r="12" spans="1:15" x14ac:dyDescent="0.35">
      <c r="A12" t="s">
        <v>563</v>
      </c>
      <c r="B12" t="s">
        <v>564</v>
      </c>
      <c r="C12" t="s">
        <v>556</v>
      </c>
      <c r="D12">
        <v>13</v>
      </c>
      <c r="E12">
        <v>13</v>
      </c>
      <c r="F12">
        <v>14</v>
      </c>
      <c r="G12">
        <v>14</v>
      </c>
      <c r="H12" s="170">
        <v>14</v>
      </c>
      <c r="I12">
        <v>14</v>
      </c>
      <c r="J12">
        <v>14</v>
      </c>
      <c r="K12">
        <v>14</v>
      </c>
      <c r="L12" s="170">
        <v>15</v>
      </c>
      <c r="M12">
        <v>15</v>
      </c>
      <c r="N12">
        <v>15</v>
      </c>
      <c r="O12">
        <v>15</v>
      </c>
    </row>
    <row r="13" spans="1:15" x14ac:dyDescent="0.35">
      <c r="A13" t="s">
        <v>565</v>
      </c>
      <c r="B13" t="s">
        <v>564</v>
      </c>
      <c r="C13" t="s">
        <v>560</v>
      </c>
      <c r="D13">
        <v>0</v>
      </c>
      <c r="E13">
        <v>0</v>
      </c>
      <c r="F13">
        <v>0</v>
      </c>
      <c r="G13">
        <v>0</v>
      </c>
      <c r="H13" s="170">
        <v>1</v>
      </c>
      <c r="I13">
        <v>1</v>
      </c>
      <c r="J13">
        <v>1</v>
      </c>
      <c r="K13">
        <v>1</v>
      </c>
      <c r="L13">
        <v>1</v>
      </c>
      <c r="M13" s="170">
        <v>2</v>
      </c>
      <c r="N13">
        <v>2</v>
      </c>
      <c r="O13">
        <v>2</v>
      </c>
    </row>
    <row r="14" spans="1:15" x14ac:dyDescent="0.35">
      <c r="A14" t="s">
        <v>566</v>
      </c>
      <c r="B14" t="s">
        <v>564</v>
      </c>
      <c r="C14" t="s">
        <v>561</v>
      </c>
      <c r="D14">
        <v>0</v>
      </c>
      <c r="E14">
        <v>0</v>
      </c>
      <c r="F14">
        <v>0</v>
      </c>
      <c r="G14">
        <v>1</v>
      </c>
      <c r="H14">
        <v>1</v>
      </c>
      <c r="I14" s="170">
        <v>2</v>
      </c>
      <c r="J14">
        <v>2</v>
      </c>
      <c r="K14">
        <v>2</v>
      </c>
      <c r="L14">
        <v>2</v>
      </c>
      <c r="M14">
        <v>1</v>
      </c>
      <c r="N14">
        <v>0</v>
      </c>
      <c r="O14">
        <v>0</v>
      </c>
    </row>
    <row r="15" spans="1:15" x14ac:dyDescent="0.35">
      <c r="A15" t="s">
        <v>85</v>
      </c>
      <c r="B15" t="s">
        <v>564</v>
      </c>
      <c r="C15" t="s">
        <v>556</v>
      </c>
      <c r="D15">
        <v>3</v>
      </c>
      <c r="E15">
        <v>3</v>
      </c>
      <c r="F15">
        <v>3</v>
      </c>
      <c r="G15">
        <v>3</v>
      </c>
      <c r="H15" s="170">
        <v>4</v>
      </c>
      <c r="I15" s="170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</row>
    <row r="16" spans="1:15" x14ac:dyDescent="0.35">
      <c r="A16" t="s">
        <v>567</v>
      </c>
      <c r="B16" t="s">
        <v>555</v>
      </c>
      <c r="C16" t="s">
        <v>560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</row>
    <row r="17" spans="1:15" x14ac:dyDescent="0.35">
      <c r="A17" t="s">
        <v>568</v>
      </c>
      <c r="B17" t="s">
        <v>555</v>
      </c>
      <c r="C17" t="s">
        <v>561</v>
      </c>
      <c r="D17">
        <v>0</v>
      </c>
      <c r="E17">
        <v>1</v>
      </c>
      <c r="F17">
        <v>1</v>
      </c>
      <c r="G17">
        <v>1</v>
      </c>
      <c r="H17">
        <v>2</v>
      </c>
      <c r="I17">
        <v>3</v>
      </c>
      <c r="J17">
        <v>3</v>
      </c>
      <c r="K17">
        <v>2</v>
      </c>
      <c r="L17">
        <v>2</v>
      </c>
      <c r="M17">
        <v>2</v>
      </c>
      <c r="N17">
        <v>2</v>
      </c>
      <c r="O17">
        <v>2</v>
      </c>
    </row>
    <row r="18" spans="1:15" x14ac:dyDescent="0.35">
      <c r="A18" t="s">
        <v>569</v>
      </c>
      <c r="B18" t="s">
        <v>564</v>
      </c>
      <c r="C18" t="s">
        <v>560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</row>
    <row r="19" spans="1:15" x14ac:dyDescent="0.35">
      <c r="A19" t="s">
        <v>570</v>
      </c>
      <c r="B19" t="s">
        <v>564</v>
      </c>
      <c r="C19" t="s">
        <v>560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35">
      <c r="A20" t="s">
        <v>571</v>
      </c>
      <c r="B20" t="s">
        <v>564</v>
      </c>
      <c r="C20" t="s">
        <v>560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</row>
    <row r="21" spans="1:15" x14ac:dyDescent="0.35">
      <c r="A21" t="s">
        <v>572</v>
      </c>
      <c r="B21" t="s">
        <v>564</v>
      </c>
      <c r="C21" t="s">
        <v>560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</row>
    <row r="22" spans="1:15" x14ac:dyDescent="0.35">
      <c r="A22" t="s">
        <v>573</v>
      </c>
      <c r="B22" t="s">
        <v>564</v>
      </c>
      <c r="C22" t="s">
        <v>556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</row>
    <row r="23" spans="1:15" x14ac:dyDescent="0.35">
      <c r="A23" t="s">
        <v>544</v>
      </c>
      <c r="B23" t="s">
        <v>564</v>
      </c>
      <c r="C23" t="s">
        <v>560</v>
      </c>
      <c r="D23">
        <v>1</v>
      </c>
      <c r="E23">
        <v>1</v>
      </c>
      <c r="F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5">
      <c r="A24" t="s">
        <v>574</v>
      </c>
      <c r="B24" t="s">
        <v>564</v>
      </c>
      <c r="C24" t="s">
        <v>560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</row>
    <row r="25" spans="1:15" x14ac:dyDescent="0.35">
      <c r="A25" t="s">
        <v>575</v>
      </c>
      <c r="B25" t="s">
        <v>564</v>
      </c>
      <c r="C25" t="s">
        <v>560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</row>
    <row r="26" spans="1:15" x14ac:dyDescent="0.35">
      <c r="A26" t="s">
        <v>576</v>
      </c>
      <c r="B26" t="s">
        <v>555</v>
      </c>
      <c r="C26" t="s">
        <v>556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35">
      <c r="A27" t="s">
        <v>577</v>
      </c>
      <c r="B27" t="s">
        <v>555</v>
      </c>
      <c r="C27" t="s">
        <v>556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578</v>
      </c>
      <c r="B28" t="s">
        <v>555</v>
      </c>
      <c r="C28" t="s">
        <v>556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579</v>
      </c>
      <c r="B29" t="s">
        <v>555</v>
      </c>
      <c r="C29" t="s">
        <v>560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0</v>
      </c>
    </row>
    <row r="30" spans="1:15" x14ac:dyDescent="0.35">
      <c r="A30" t="s">
        <v>580</v>
      </c>
      <c r="B30" t="s">
        <v>555</v>
      </c>
      <c r="C30" t="s">
        <v>560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2" spans="1:15" x14ac:dyDescent="0.35">
      <c r="D32" s="168">
        <f>+SUM(D2:D30)</f>
        <v>47</v>
      </c>
      <c r="E32" s="168">
        <f t="shared" ref="E32:O32" si="0">+SUM(E2:E30)</f>
        <v>49</v>
      </c>
      <c r="F32" s="168">
        <f t="shared" si="0"/>
        <v>50</v>
      </c>
      <c r="G32" s="168">
        <f t="shared" si="0"/>
        <v>50</v>
      </c>
      <c r="H32" s="168">
        <f t="shared" si="0"/>
        <v>58</v>
      </c>
      <c r="I32" s="168">
        <f t="shared" si="0"/>
        <v>65</v>
      </c>
      <c r="J32" s="168">
        <f t="shared" si="0"/>
        <v>66</v>
      </c>
      <c r="K32" s="168">
        <f t="shared" si="0"/>
        <v>64</v>
      </c>
      <c r="L32" s="168">
        <f t="shared" si="0"/>
        <v>69</v>
      </c>
      <c r="M32" s="168">
        <f t="shared" si="0"/>
        <v>71</v>
      </c>
      <c r="N32" s="168">
        <f t="shared" si="0"/>
        <v>71</v>
      </c>
      <c r="O32" s="168">
        <f t="shared" si="0"/>
        <v>68</v>
      </c>
    </row>
  </sheetData>
  <sheetProtection algorithmName="SHA-512" hashValue="Cm9WyFMsa8u8/XlCLOTRPRAe/I3+ORNMq/f14WMApzvgrzWQoPU1wpkJH+0YCndhj15lkXfdHav6+oNrf4uy/g==" saltValue="oChy+Gt2kTKpK1RuASWaUQ==" spinCount="100000" sheet="1" objects="1" scenario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8687-441C-48CD-9548-3DBCCEBF6F23}">
  <sheetPr>
    <tabColor rgb="FFFF0000"/>
  </sheetPr>
  <dimension ref="A1:I38"/>
  <sheetViews>
    <sheetView showGridLines="0" zoomScale="120" zoomScaleNormal="120" workbookViewId="0">
      <selection activeCell="F6" sqref="F6:F14"/>
    </sheetView>
  </sheetViews>
  <sheetFormatPr baseColWidth="10" defaultColWidth="8.7265625" defaultRowHeight="14.5" x14ac:dyDescent="0.35"/>
  <cols>
    <col min="1" max="1" width="12.26953125" style="71" customWidth="1"/>
    <col min="2" max="2" width="10.81640625" style="71" customWidth="1"/>
    <col min="3" max="4" width="11" style="71" customWidth="1"/>
    <col min="5" max="5" width="20" style="71" customWidth="1"/>
    <col min="6" max="6" width="9" style="71" customWidth="1"/>
    <col min="7" max="7" width="35" style="71" customWidth="1"/>
    <col min="8" max="8" width="30" style="71" customWidth="1"/>
    <col min="9" max="16384" width="8.7265625" style="71"/>
  </cols>
  <sheetData>
    <row r="1" spans="1:9" ht="30" customHeight="1" x14ac:dyDescent="0.35">
      <c r="A1" s="336" t="s">
        <v>581</v>
      </c>
      <c r="B1" s="336"/>
      <c r="C1" s="336"/>
      <c r="D1" s="336"/>
      <c r="E1" s="336"/>
      <c r="F1" s="336"/>
      <c r="G1" s="336"/>
      <c r="H1" s="336"/>
      <c r="I1" s="336"/>
    </row>
    <row r="2" spans="1:9" ht="15.75" customHeight="1" x14ac:dyDescent="0.35">
      <c r="A2" s="337" t="s">
        <v>582</v>
      </c>
      <c r="B2" s="337"/>
      <c r="C2" s="337"/>
      <c r="D2" s="337"/>
      <c r="E2" s="337"/>
      <c r="F2" s="337"/>
      <c r="G2" s="337"/>
      <c r="H2" s="337"/>
      <c r="I2" s="337"/>
    </row>
    <row r="3" spans="1:9" ht="7.5" customHeight="1" x14ac:dyDescent="0.35"/>
    <row r="4" spans="1:9" ht="25.5" customHeight="1" thickBot="1" x14ac:dyDescent="0.4">
      <c r="A4" s="72" t="s">
        <v>128</v>
      </c>
      <c r="B4" s="72" t="s">
        <v>583</v>
      </c>
      <c r="C4" s="72" t="s">
        <v>125</v>
      </c>
      <c r="D4" s="72" t="s">
        <v>123</v>
      </c>
      <c r="E4" s="72" t="s">
        <v>584</v>
      </c>
      <c r="F4" s="72" t="s">
        <v>585</v>
      </c>
      <c r="G4" s="72" t="s">
        <v>586</v>
      </c>
      <c r="H4" s="72" t="s">
        <v>587</v>
      </c>
    </row>
    <row r="5" spans="1:9" ht="21.75" customHeight="1" x14ac:dyDescent="0.35">
      <c r="A5" s="391" t="s">
        <v>588</v>
      </c>
      <c r="B5" s="391"/>
      <c r="C5" s="391"/>
      <c r="D5" s="391"/>
      <c r="E5" s="391"/>
      <c r="F5" s="391"/>
      <c r="G5" s="391"/>
      <c r="H5" s="391"/>
      <c r="I5" s="391"/>
    </row>
    <row r="6" spans="1:9" ht="15" customHeight="1" x14ac:dyDescent="0.35">
      <c r="A6" s="73">
        <v>2026</v>
      </c>
      <c r="B6" s="74">
        <v>1</v>
      </c>
      <c r="C6" s="75" t="s">
        <v>372</v>
      </c>
      <c r="D6" s="76" t="s">
        <v>277</v>
      </c>
      <c r="E6" s="77" t="s">
        <v>525</v>
      </c>
      <c r="F6" s="74">
        <v>2017</v>
      </c>
      <c r="G6" s="78" t="s">
        <v>589</v>
      </c>
      <c r="H6" s="79" t="s">
        <v>590</v>
      </c>
    </row>
    <row r="7" spans="1:9" ht="15" customHeight="1" x14ac:dyDescent="0.35">
      <c r="A7" s="73">
        <v>2026</v>
      </c>
      <c r="B7" s="80">
        <v>2</v>
      </c>
      <c r="C7" s="81" t="s">
        <v>454</v>
      </c>
      <c r="D7" s="76" t="s">
        <v>277</v>
      </c>
      <c r="E7" s="82" t="s">
        <v>525</v>
      </c>
      <c r="F7" s="80">
        <v>2017</v>
      </c>
      <c r="G7" s="83" t="s">
        <v>589</v>
      </c>
      <c r="H7" s="79" t="s">
        <v>590</v>
      </c>
    </row>
    <row r="8" spans="1:9" ht="15" customHeight="1" x14ac:dyDescent="0.35">
      <c r="A8" s="73">
        <v>2026</v>
      </c>
      <c r="B8" s="74">
        <v>3</v>
      </c>
      <c r="C8" s="75" t="s">
        <v>458</v>
      </c>
      <c r="D8" s="76" t="s">
        <v>277</v>
      </c>
      <c r="E8" s="77" t="s">
        <v>525</v>
      </c>
      <c r="F8" s="74">
        <v>2017</v>
      </c>
      <c r="G8" s="78" t="s">
        <v>589</v>
      </c>
      <c r="H8" s="79" t="s">
        <v>590</v>
      </c>
    </row>
    <row r="9" spans="1:9" ht="15" customHeight="1" x14ac:dyDescent="0.35">
      <c r="A9" s="73">
        <v>2026</v>
      </c>
      <c r="B9" s="80">
        <v>4</v>
      </c>
      <c r="C9" s="81" t="s">
        <v>158</v>
      </c>
      <c r="D9" s="84" t="s">
        <v>77</v>
      </c>
      <c r="E9" s="82" t="s">
        <v>509</v>
      </c>
      <c r="F9" s="80">
        <v>2017</v>
      </c>
      <c r="G9" s="83" t="s">
        <v>589</v>
      </c>
      <c r="H9" s="79" t="s">
        <v>590</v>
      </c>
    </row>
    <row r="10" spans="1:9" ht="15" customHeight="1" x14ac:dyDescent="0.35">
      <c r="A10" s="73">
        <v>2026</v>
      </c>
      <c r="B10" s="74">
        <v>5</v>
      </c>
      <c r="C10" s="75" t="s">
        <v>164</v>
      </c>
      <c r="D10" s="84" t="s">
        <v>77</v>
      </c>
      <c r="E10" s="77" t="s">
        <v>509</v>
      </c>
      <c r="F10" s="74">
        <v>2017</v>
      </c>
      <c r="G10" s="78" t="s">
        <v>589</v>
      </c>
      <c r="H10" s="79" t="s">
        <v>590</v>
      </c>
    </row>
    <row r="11" spans="1:9" ht="15" customHeight="1" x14ac:dyDescent="0.35">
      <c r="A11" s="73">
        <v>2026</v>
      </c>
      <c r="B11" s="80">
        <v>6</v>
      </c>
      <c r="C11" s="81" t="s">
        <v>168</v>
      </c>
      <c r="D11" s="84" t="s">
        <v>77</v>
      </c>
      <c r="E11" s="82" t="s">
        <v>509</v>
      </c>
      <c r="F11" s="80">
        <v>2017</v>
      </c>
      <c r="G11" s="83" t="s">
        <v>589</v>
      </c>
      <c r="H11" s="79" t="s">
        <v>590</v>
      </c>
    </row>
    <row r="12" spans="1:9" ht="15" customHeight="1" x14ac:dyDescent="0.35">
      <c r="A12" s="73">
        <v>2026</v>
      </c>
      <c r="B12" s="74">
        <v>7</v>
      </c>
      <c r="C12" s="75" t="s">
        <v>171</v>
      </c>
      <c r="D12" s="84" t="s">
        <v>77</v>
      </c>
      <c r="E12" s="77" t="s">
        <v>509</v>
      </c>
      <c r="F12" s="74">
        <v>2017</v>
      </c>
      <c r="G12" s="78" t="s">
        <v>589</v>
      </c>
      <c r="H12" s="79" t="s">
        <v>590</v>
      </c>
    </row>
    <row r="13" spans="1:9" ht="15" customHeight="1" x14ac:dyDescent="0.35">
      <c r="A13" s="73">
        <v>2026</v>
      </c>
      <c r="B13" s="80">
        <v>8</v>
      </c>
      <c r="C13" s="81" t="s">
        <v>173</v>
      </c>
      <c r="D13" s="84" t="s">
        <v>77</v>
      </c>
      <c r="E13" s="82" t="s">
        <v>509</v>
      </c>
      <c r="F13" s="80">
        <v>2017</v>
      </c>
      <c r="G13" s="83" t="s">
        <v>589</v>
      </c>
      <c r="H13" s="79" t="s">
        <v>590</v>
      </c>
    </row>
    <row r="14" spans="1:9" ht="15" customHeight="1" x14ac:dyDescent="0.35">
      <c r="A14" s="73">
        <v>2026</v>
      </c>
      <c r="B14" s="74">
        <v>9</v>
      </c>
      <c r="C14" s="75" t="s">
        <v>176</v>
      </c>
      <c r="D14" s="84" t="s">
        <v>77</v>
      </c>
      <c r="E14" s="77" t="s">
        <v>509</v>
      </c>
      <c r="F14" s="74">
        <v>2017</v>
      </c>
      <c r="G14" s="78" t="s">
        <v>589</v>
      </c>
      <c r="H14" s="79" t="s">
        <v>590</v>
      </c>
    </row>
    <row r="15" spans="1:9" ht="15" customHeight="1" x14ac:dyDescent="0.35">
      <c r="A15" s="73">
        <v>2026</v>
      </c>
      <c r="B15" s="80">
        <v>10</v>
      </c>
      <c r="C15" s="81" t="s">
        <v>378</v>
      </c>
      <c r="D15" s="85" t="s">
        <v>379</v>
      </c>
      <c r="E15" s="82" t="s">
        <v>505</v>
      </c>
      <c r="F15" s="80">
        <v>2019</v>
      </c>
      <c r="G15" s="83" t="s">
        <v>591</v>
      </c>
      <c r="H15" s="79" t="s">
        <v>590</v>
      </c>
    </row>
    <row r="16" spans="1:9" ht="15" customHeight="1" x14ac:dyDescent="0.35">
      <c r="A16" s="86">
        <v>2026</v>
      </c>
      <c r="B16" s="87">
        <v>11</v>
      </c>
      <c r="C16" s="88" t="s">
        <v>191</v>
      </c>
      <c r="D16" s="89" t="s">
        <v>141</v>
      </c>
      <c r="E16" s="90" t="s">
        <v>192</v>
      </c>
      <c r="F16" s="87">
        <v>2019</v>
      </c>
      <c r="G16" s="91" t="s">
        <v>592</v>
      </c>
      <c r="H16" s="92" t="s">
        <v>593</v>
      </c>
    </row>
    <row r="17" spans="1:9" ht="6" customHeight="1" x14ac:dyDescent="0.35"/>
    <row r="18" spans="1:9" ht="21.75" customHeight="1" x14ac:dyDescent="0.35">
      <c r="A18" s="392" t="s">
        <v>594</v>
      </c>
      <c r="B18" s="392"/>
      <c r="C18" s="392"/>
      <c r="D18" s="392"/>
      <c r="E18" s="392"/>
      <c r="F18" s="392"/>
      <c r="G18" s="392"/>
      <c r="H18" s="392"/>
      <c r="I18" s="392"/>
    </row>
    <row r="19" spans="1:9" ht="15" customHeight="1" x14ac:dyDescent="0.35">
      <c r="A19" s="93">
        <v>2027</v>
      </c>
      <c r="B19" s="74">
        <v>1</v>
      </c>
      <c r="C19" s="75" t="s">
        <v>181</v>
      </c>
      <c r="D19" s="84" t="s">
        <v>77</v>
      </c>
      <c r="E19" s="77" t="s">
        <v>509</v>
      </c>
      <c r="F19" s="74">
        <v>2018</v>
      </c>
      <c r="G19" s="78" t="s">
        <v>595</v>
      </c>
      <c r="H19" s="79" t="s">
        <v>590</v>
      </c>
    </row>
    <row r="20" spans="1:9" ht="15" customHeight="1" x14ac:dyDescent="0.35">
      <c r="A20" s="93">
        <v>2027</v>
      </c>
      <c r="B20" s="80">
        <v>2</v>
      </c>
      <c r="C20" s="81" t="s">
        <v>185</v>
      </c>
      <c r="D20" s="89" t="s">
        <v>141</v>
      </c>
      <c r="E20" s="82" t="s">
        <v>68</v>
      </c>
      <c r="F20" s="80">
        <v>2018</v>
      </c>
      <c r="G20" s="83" t="s">
        <v>596</v>
      </c>
      <c r="H20" s="79" t="s">
        <v>590</v>
      </c>
    </row>
    <row r="21" spans="1:9" ht="6" customHeight="1" x14ac:dyDescent="0.35"/>
    <row r="22" spans="1:9" ht="21.75" customHeight="1" x14ac:dyDescent="0.35">
      <c r="A22" s="393" t="s">
        <v>597</v>
      </c>
      <c r="B22" s="393"/>
      <c r="C22" s="393"/>
      <c r="D22" s="393"/>
      <c r="E22" s="393"/>
      <c r="F22" s="393"/>
      <c r="G22" s="393"/>
      <c r="H22" s="393"/>
      <c r="I22" s="393"/>
    </row>
    <row r="23" spans="1:9" ht="15" customHeight="1" x14ac:dyDescent="0.35">
      <c r="A23" s="76">
        <v>2028</v>
      </c>
      <c r="B23" s="74">
        <v>1</v>
      </c>
      <c r="C23" s="75" t="s">
        <v>201</v>
      </c>
      <c r="D23" s="89" t="s">
        <v>141</v>
      </c>
      <c r="E23" s="77" t="s">
        <v>68</v>
      </c>
      <c r="F23" s="74">
        <v>2019</v>
      </c>
      <c r="G23" s="78" t="s">
        <v>598</v>
      </c>
      <c r="H23" s="94" t="s">
        <v>599</v>
      </c>
    </row>
    <row r="24" spans="1:9" ht="15" customHeight="1" x14ac:dyDescent="0.35">
      <c r="A24" s="76">
        <v>2028</v>
      </c>
      <c r="B24" s="80">
        <v>2</v>
      </c>
      <c r="C24" s="81" t="s">
        <v>204</v>
      </c>
      <c r="D24" s="89" t="s">
        <v>141</v>
      </c>
      <c r="E24" s="82" t="s">
        <v>68</v>
      </c>
      <c r="F24" s="80">
        <v>2019</v>
      </c>
      <c r="G24" s="83" t="s">
        <v>598</v>
      </c>
      <c r="H24" s="94" t="s">
        <v>599</v>
      </c>
    </row>
    <row r="25" spans="1:9" ht="15" customHeight="1" x14ac:dyDescent="0.35">
      <c r="A25" s="76">
        <v>2028</v>
      </c>
      <c r="B25" s="74">
        <v>3</v>
      </c>
      <c r="C25" s="75" t="s">
        <v>209</v>
      </c>
      <c r="D25" s="89" t="s">
        <v>141</v>
      </c>
      <c r="E25" s="77" t="s">
        <v>68</v>
      </c>
      <c r="F25" s="74">
        <v>2019</v>
      </c>
      <c r="G25" s="78" t="s">
        <v>598</v>
      </c>
      <c r="H25" s="94" t="s">
        <v>599</v>
      </c>
    </row>
    <row r="26" spans="1:9" ht="15" customHeight="1" x14ac:dyDescent="0.35">
      <c r="A26" s="76">
        <v>2028</v>
      </c>
      <c r="B26" s="80">
        <v>4</v>
      </c>
      <c r="C26" s="81" t="s">
        <v>215</v>
      </c>
      <c r="D26" s="89" t="s">
        <v>141</v>
      </c>
      <c r="E26" s="82" t="s">
        <v>68</v>
      </c>
      <c r="F26" s="80">
        <v>2019</v>
      </c>
      <c r="G26" s="83" t="s">
        <v>598</v>
      </c>
      <c r="H26" s="94" t="s">
        <v>599</v>
      </c>
    </row>
    <row r="27" spans="1:9" ht="15" customHeight="1" x14ac:dyDescent="0.35">
      <c r="A27" s="76">
        <v>2028</v>
      </c>
      <c r="B27" s="74">
        <v>5</v>
      </c>
      <c r="C27" s="75" t="s">
        <v>218</v>
      </c>
      <c r="D27" s="89" t="s">
        <v>141</v>
      </c>
      <c r="E27" s="77" t="s">
        <v>68</v>
      </c>
      <c r="F27" s="74">
        <v>2019</v>
      </c>
      <c r="G27" s="78" t="s">
        <v>598</v>
      </c>
      <c r="H27" s="94" t="s">
        <v>599</v>
      </c>
    </row>
    <row r="28" spans="1:9" ht="15" customHeight="1" x14ac:dyDescent="0.35">
      <c r="A28" s="76">
        <v>2028</v>
      </c>
      <c r="B28" s="80">
        <v>6</v>
      </c>
      <c r="C28" s="81" t="s">
        <v>221</v>
      </c>
      <c r="D28" s="89" t="s">
        <v>141</v>
      </c>
      <c r="E28" s="82" t="s">
        <v>68</v>
      </c>
      <c r="F28" s="80">
        <v>2019</v>
      </c>
      <c r="G28" s="83" t="s">
        <v>598</v>
      </c>
      <c r="H28" s="94" t="s">
        <v>599</v>
      </c>
    </row>
    <row r="29" spans="1:9" ht="15" customHeight="1" x14ac:dyDescent="0.35">
      <c r="A29" s="76">
        <v>2028</v>
      </c>
      <c r="B29" s="74">
        <v>7</v>
      </c>
      <c r="C29" s="75" t="s">
        <v>224</v>
      </c>
      <c r="D29" s="89" t="s">
        <v>141</v>
      </c>
      <c r="E29" s="77" t="s">
        <v>68</v>
      </c>
      <c r="F29" s="74">
        <v>2019</v>
      </c>
      <c r="G29" s="78" t="s">
        <v>598</v>
      </c>
      <c r="H29" s="94" t="s">
        <v>599</v>
      </c>
    </row>
    <row r="30" spans="1:9" ht="15" customHeight="1" x14ac:dyDescent="0.35">
      <c r="A30" s="76">
        <v>2028</v>
      </c>
      <c r="B30" s="80">
        <v>8</v>
      </c>
      <c r="C30" s="81" t="s">
        <v>232</v>
      </c>
      <c r="D30" s="89" t="s">
        <v>141</v>
      </c>
      <c r="E30" s="82" t="s">
        <v>68</v>
      </c>
      <c r="F30" s="80">
        <v>2019</v>
      </c>
      <c r="G30" s="83" t="s">
        <v>598</v>
      </c>
      <c r="H30" s="94" t="s">
        <v>599</v>
      </c>
    </row>
    <row r="31" spans="1:9" ht="15" customHeight="1" x14ac:dyDescent="0.35">
      <c r="A31" s="76">
        <v>2028</v>
      </c>
      <c r="B31" s="74">
        <v>9</v>
      </c>
      <c r="C31" s="75" t="s">
        <v>241</v>
      </c>
      <c r="D31" s="89" t="s">
        <v>141</v>
      </c>
      <c r="E31" s="77" t="s">
        <v>68</v>
      </c>
      <c r="F31" s="74">
        <v>2019</v>
      </c>
      <c r="G31" s="78" t="s">
        <v>598</v>
      </c>
      <c r="H31" s="94" t="s">
        <v>599</v>
      </c>
    </row>
    <row r="32" spans="1:9" ht="6" customHeight="1" x14ac:dyDescent="0.35"/>
    <row r="33" spans="1:9" ht="24" customHeight="1" x14ac:dyDescent="0.35">
      <c r="A33" s="394" t="s">
        <v>600</v>
      </c>
      <c r="B33" s="394"/>
      <c r="C33" s="394"/>
      <c r="D33" s="394"/>
      <c r="E33" s="394"/>
      <c r="F33" s="394"/>
      <c r="G33" s="394"/>
      <c r="H33" s="394"/>
      <c r="I33" s="394"/>
    </row>
    <row r="35" spans="1:9" ht="19.5" customHeight="1" x14ac:dyDescent="0.35">
      <c r="A35" s="388" t="s">
        <v>601</v>
      </c>
      <c r="B35" s="388"/>
      <c r="C35" s="388"/>
      <c r="D35" s="388"/>
      <c r="E35" s="388"/>
      <c r="F35" s="388"/>
      <c r="G35" s="388"/>
      <c r="H35" s="388"/>
      <c r="I35" s="388"/>
    </row>
    <row r="36" spans="1:9" ht="33" x14ac:dyDescent="0.35">
      <c r="A36" s="95" t="s">
        <v>602</v>
      </c>
      <c r="B36" s="95" t="s">
        <v>505</v>
      </c>
      <c r="C36" s="389" t="s">
        <v>603</v>
      </c>
      <c r="D36" s="389"/>
      <c r="E36" s="389"/>
      <c r="F36" s="389"/>
      <c r="G36" s="389"/>
      <c r="H36" s="389"/>
      <c r="I36" s="389"/>
    </row>
    <row r="37" spans="1:9" ht="22" x14ac:dyDescent="0.35">
      <c r="A37" s="95" t="s">
        <v>604</v>
      </c>
      <c r="B37" s="95" t="s">
        <v>605</v>
      </c>
      <c r="C37" s="389" t="s">
        <v>606</v>
      </c>
      <c r="D37" s="389"/>
      <c r="E37" s="389"/>
      <c r="F37" s="389"/>
      <c r="G37" s="389"/>
      <c r="H37" s="389"/>
      <c r="I37" s="389"/>
    </row>
    <row r="38" spans="1:9" x14ac:dyDescent="0.35">
      <c r="A38" s="94" t="s">
        <v>389</v>
      </c>
      <c r="B38" s="94" t="s">
        <v>390</v>
      </c>
      <c r="C38" s="390" t="s">
        <v>607</v>
      </c>
      <c r="D38" s="390"/>
      <c r="E38" s="390"/>
      <c r="F38" s="390"/>
      <c r="G38" s="390"/>
      <c r="H38" s="390"/>
      <c r="I38" s="390"/>
    </row>
  </sheetData>
  <sheetProtection algorithmName="SHA-512" hashValue="PH5N5CdiH+A0AMzkHE92nGjKcY7hlgcJ1NsZdYHzJ471ljORqoelX/QpoNm6at1py29i5NMgN91Xnv+yX/yWwg==" saltValue="MXb9mx4oIMZ8eOUuqHATaw==" spinCount="100000" sheet="1" objects="1" scenarios="1"/>
  <mergeCells count="10">
    <mergeCell ref="A35:I35"/>
    <mergeCell ref="C36:I36"/>
    <mergeCell ref="C37:I37"/>
    <mergeCell ref="C38:I38"/>
    <mergeCell ref="A1:I1"/>
    <mergeCell ref="A2:I2"/>
    <mergeCell ref="A5:I5"/>
    <mergeCell ref="A18:I18"/>
    <mergeCell ref="A22:I22"/>
    <mergeCell ref="A33:I3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9A1D-54A8-4652-AC67-F67897C0A561}">
  <dimension ref="A1:K7"/>
  <sheetViews>
    <sheetView showGridLines="0" zoomScaleNormal="100" workbookViewId="0">
      <selection activeCell="B4" sqref="B4"/>
    </sheetView>
  </sheetViews>
  <sheetFormatPr baseColWidth="10" defaultColWidth="8.7265625" defaultRowHeight="14.5" x14ac:dyDescent="0.35"/>
  <cols>
    <col min="1" max="1" width="12" style="71" customWidth="1"/>
    <col min="2" max="3" width="14" style="71" customWidth="1"/>
    <col min="4" max="4" width="10" style="71" customWidth="1"/>
    <col min="5" max="5" width="38" style="71" customWidth="1"/>
    <col min="6" max="6" width="30" style="71" customWidth="1"/>
    <col min="7" max="8" width="8.7265625" style="71"/>
    <col min="9" max="11" width="13" style="71" hidden="1" customWidth="1"/>
    <col min="12" max="16384" width="8.7265625" style="71"/>
  </cols>
  <sheetData>
    <row r="1" spans="1:11" ht="27.75" customHeight="1" x14ac:dyDescent="0.35">
      <c r="A1" s="336" t="s">
        <v>608</v>
      </c>
      <c r="B1" s="336"/>
      <c r="C1" s="336"/>
      <c r="D1" s="336"/>
      <c r="E1" s="336"/>
      <c r="F1" s="336"/>
      <c r="G1" s="336"/>
      <c r="H1" s="336"/>
    </row>
    <row r="2" spans="1:11" ht="7.5" customHeight="1" x14ac:dyDescent="0.35"/>
    <row r="3" spans="1:11" ht="24" customHeight="1" thickBot="1" x14ac:dyDescent="0.4">
      <c r="A3" s="72" t="s">
        <v>128</v>
      </c>
      <c r="B3" s="72" t="s">
        <v>609</v>
      </c>
      <c r="C3" s="72" t="s">
        <v>610</v>
      </c>
      <c r="D3" s="72" t="s">
        <v>66</v>
      </c>
      <c r="E3" s="72" t="s">
        <v>611</v>
      </c>
      <c r="F3" s="72" t="s">
        <v>612</v>
      </c>
      <c r="I3" s="71" t="s">
        <v>128</v>
      </c>
      <c r="J3" s="71" t="s">
        <v>613</v>
      </c>
      <c r="K3" s="71" t="s">
        <v>610</v>
      </c>
    </row>
    <row r="4" spans="1:11" ht="24" customHeight="1" x14ac:dyDescent="0.35">
      <c r="A4" s="96">
        <v>2026</v>
      </c>
      <c r="B4" s="97">
        <v>10</v>
      </c>
      <c r="C4" s="98">
        <v>1</v>
      </c>
      <c r="D4" s="99">
        <v>11</v>
      </c>
      <c r="E4" s="100" t="s">
        <v>614</v>
      </c>
      <c r="F4" s="101" t="s">
        <v>615</v>
      </c>
      <c r="I4" s="71">
        <v>2026</v>
      </c>
      <c r="J4" s="71">
        <v>10</v>
      </c>
      <c r="K4" s="71">
        <v>1</v>
      </c>
    </row>
    <row r="5" spans="1:11" ht="24" customHeight="1" x14ac:dyDescent="0.35">
      <c r="A5" s="102">
        <v>2027</v>
      </c>
      <c r="B5" s="103">
        <v>2</v>
      </c>
      <c r="C5" s="103">
        <v>0</v>
      </c>
      <c r="D5" s="104">
        <v>2</v>
      </c>
      <c r="E5" s="105" t="s">
        <v>616</v>
      </c>
      <c r="F5" s="106"/>
      <c r="I5" s="71">
        <v>2027</v>
      </c>
      <c r="J5" s="71">
        <v>2</v>
      </c>
      <c r="K5" s="71">
        <v>0</v>
      </c>
    </row>
    <row r="6" spans="1:11" ht="24" customHeight="1" x14ac:dyDescent="0.35">
      <c r="A6" s="107">
        <v>2028</v>
      </c>
      <c r="B6" s="97">
        <v>9</v>
      </c>
      <c r="C6" s="97">
        <v>0</v>
      </c>
      <c r="D6" s="99">
        <v>9</v>
      </c>
      <c r="E6" s="100" t="s">
        <v>617</v>
      </c>
      <c r="F6" s="101" t="s">
        <v>618</v>
      </c>
      <c r="I6" s="71">
        <v>2028</v>
      </c>
      <c r="J6" s="71">
        <v>9</v>
      </c>
      <c r="K6" s="71">
        <v>0</v>
      </c>
    </row>
    <row r="7" spans="1:11" ht="27.75" customHeight="1" x14ac:dyDescent="0.35">
      <c r="A7" s="108" t="s">
        <v>619</v>
      </c>
      <c r="B7" s="108">
        <v>21</v>
      </c>
      <c r="C7" s="108">
        <v>1</v>
      </c>
      <c r="D7" s="108">
        <v>22</v>
      </c>
      <c r="E7" s="109" t="s">
        <v>620</v>
      </c>
      <c r="F7" s="109"/>
    </row>
  </sheetData>
  <sheetProtection algorithmName="SHA-512" hashValue="A207w4bkc4Qitote/hMFVvPJaIHfsY8OlwvlvsbWasgHuwjIwK0zDOHh2F6qIHojKSS1rkg6kmshauTxwc12fA==" saltValue="yJTEgpODJHEsFgaRlT1F4A==" spinCount="100000" sheet="1" objects="1" scenario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6F4E-D91D-4822-B626-62CCF71463FD}">
  <sheetPr filterMode="1"/>
  <dimension ref="A1:M89"/>
  <sheetViews>
    <sheetView showGridLines="0" zoomScale="120" zoomScaleNormal="120" workbookViewId="0">
      <pane ySplit="5" topLeftCell="A7" activePane="bottomLeft" state="frozen"/>
      <selection activeCell="E10" sqref="E10"/>
      <selection pane="bottomLeft" activeCell="J9" sqref="J9"/>
    </sheetView>
  </sheetViews>
  <sheetFormatPr baseColWidth="10" defaultColWidth="8.7265625" defaultRowHeight="14.5" x14ac:dyDescent="0.35"/>
  <cols>
    <col min="1" max="1" width="11" style="71" customWidth="1"/>
    <col min="2" max="2" width="8" style="71" customWidth="1"/>
    <col min="3" max="3" width="11" style="71" hidden="1" customWidth="1"/>
    <col min="4" max="4" width="20" style="71" hidden="1" customWidth="1"/>
    <col min="5" max="5" width="14" style="71" hidden="1" customWidth="1"/>
    <col min="6" max="6" width="13" style="71" customWidth="1"/>
    <col min="7" max="7" width="20.453125" style="71" customWidth="1"/>
    <col min="8" max="8" width="19.90625" style="71" hidden="1" customWidth="1"/>
    <col min="9" max="9" width="12" style="71" customWidth="1"/>
    <col min="10" max="10" width="14" style="71" customWidth="1"/>
    <col min="11" max="11" width="10" style="71" customWidth="1"/>
    <col min="12" max="12" width="23.1796875" style="71" bestFit="1" customWidth="1"/>
    <col min="13" max="13" width="11.08984375" style="71" bestFit="1" customWidth="1"/>
    <col min="14" max="16384" width="8.7265625" style="71"/>
  </cols>
  <sheetData>
    <row r="1" spans="1:13" ht="30" customHeight="1" x14ac:dyDescent="0.35">
      <c r="A1" s="336" t="s">
        <v>621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3" ht="18" customHeight="1" x14ac:dyDescent="0.35">
      <c r="A2" s="337" t="s">
        <v>622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</row>
    <row r="3" spans="1:13" ht="6" customHeight="1" x14ac:dyDescent="0.35"/>
    <row r="4" spans="1:13" ht="13.5" hidden="1" customHeight="1" x14ac:dyDescent="0.35">
      <c r="A4" s="311" t="s">
        <v>623</v>
      </c>
      <c r="B4" s="312" t="s">
        <v>40</v>
      </c>
      <c r="C4" s="112" t="s">
        <v>41</v>
      </c>
      <c r="D4" s="113" t="s">
        <v>624</v>
      </c>
      <c r="E4" s="114" t="s">
        <v>625</v>
      </c>
      <c r="F4" s="313" t="s">
        <v>626</v>
      </c>
      <c r="G4" s="314" t="s">
        <v>627</v>
      </c>
    </row>
    <row r="5" spans="1:13" ht="25.5" customHeight="1" thickBot="1" x14ac:dyDescent="0.4">
      <c r="A5" s="324" t="s">
        <v>125</v>
      </c>
      <c r="B5" s="324" t="s">
        <v>585</v>
      </c>
      <c r="C5" s="298" t="s">
        <v>123</v>
      </c>
      <c r="D5" s="72" t="s">
        <v>130</v>
      </c>
      <c r="E5" s="292" t="s">
        <v>134</v>
      </c>
      <c r="F5" s="324" t="s">
        <v>628</v>
      </c>
      <c r="G5" s="324" t="s">
        <v>629</v>
      </c>
      <c r="H5" s="299" t="s">
        <v>630</v>
      </c>
      <c r="I5" s="324" t="s">
        <v>126</v>
      </c>
      <c r="J5" s="324" t="s">
        <v>64</v>
      </c>
      <c r="K5" s="324" t="s">
        <v>631</v>
      </c>
      <c r="L5" s="324" t="s">
        <v>127</v>
      </c>
      <c r="M5" s="324" t="s">
        <v>736</v>
      </c>
    </row>
    <row r="6" spans="1:13" ht="15" hidden="1" customHeight="1" thickBot="1" x14ac:dyDescent="0.4">
      <c r="A6" s="132" t="s">
        <v>460</v>
      </c>
      <c r="B6" s="133">
        <v>2017</v>
      </c>
      <c r="C6" s="117" t="s">
        <v>379</v>
      </c>
      <c r="D6" s="118" t="s">
        <v>120</v>
      </c>
      <c r="E6" s="116" t="s">
        <v>148</v>
      </c>
      <c r="F6" s="136">
        <v>2021</v>
      </c>
      <c r="G6" s="315" t="s">
        <v>632</v>
      </c>
      <c r="H6" s="119" t="s">
        <v>633</v>
      </c>
      <c r="I6" s="133" t="s">
        <v>152</v>
      </c>
      <c r="J6" s="135" t="s">
        <v>118</v>
      </c>
      <c r="K6" s="133" t="s">
        <v>84</v>
      </c>
      <c r="L6" s="135" t="s">
        <v>634</v>
      </c>
    </row>
    <row r="7" spans="1:13" ht="15" customHeight="1" x14ac:dyDescent="0.35">
      <c r="A7" s="325" t="s">
        <v>372</v>
      </c>
      <c r="B7" s="326">
        <v>2017</v>
      </c>
      <c r="C7" s="300" t="s">
        <v>277</v>
      </c>
      <c r="D7" s="121" t="s">
        <v>525</v>
      </c>
      <c r="E7" s="293" t="s">
        <v>76</v>
      </c>
      <c r="F7" s="329">
        <v>2026</v>
      </c>
      <c r="G7" s="330" t="s">
        <v>590</v>
      </c>
      <c r="H7" s="304" t="s">
        <v>589</v>
      </c>
      <c r="I7" s="326" t="s">
        <v>152</v>
      </c>
      <c r="J7" s="331" t="s">
        <v>119</v>
      </c>
      <c r="K7" s="326" t="s">
        <v>79</v>
      </c>
      <c r="L7" s="331" t="s">
        <v>635</v>
      </c>
      <c r="M7" s="332">
        <v>157667</v>
      </c>
    </row>
    <row r="8" spans="1:13" ht="15" customHeight="1" x14ac:dyDescent="0.35">
      <c r="A8" s="325" t="s">
        <v>454</v>
      </c>
      <c r="B8" s="326">
        <v>2017</v>
      </c>
      <c r="C8" s="301" t="s">
        <v>277</v>
      </c>
      <c r="D8" s="82" t="s">
        <v>525</v>
      </c>
      <c r="E8" s="294" t="s">
        <v>76</v>
      </c>
      <c r="F8" s="329">
        <v>2026</v>
      </c>
      <c r="G8" s="330" t="s">
        <v>590</v>
      </c>
      <c r="H8" s="305" t="s">
        <v>589</v>
      </c>
      <c r="I8" s="326" t="s">
        <v>152</v>
      </c>
      <c r="J8" s="331" t="s">
        <v>118</v>
      </c>
      <c r="K8" s="326" t="s">
        <v>84</v>
      </c>
      <c r="L8" s="331" t="s">
        <v>636</v>
      </c>
      <c r="M8" s="332">
        <v>152031</v>
      </c>
    </row>
    <row r="9" spans="1:13" ht="15" customHeight="1" x14ac:dyDescent="0.35">
      <c r="A9" s="327" t="s">
        <v>176</v>
      </c>
      <c r="B9" s="328">
        <v>2017</v>
      </c>
      <c r="C9" s="302" t="s">
        <v>77</v>
      </c>
      <c r="D9" s="77" t="s">
        <v>509</v>
      </c>
      <c r="E9" s="295" t="s">
        <v>77</v>
      </c>
      <c r="F9" s="329">
        <v>2026</v>
      </c>
      <c r="G9" s="330" t="s">
        <v>590</v>
      </c>
      <c r="H9" s="306" t="s">
        <v>589</v>
      </c>
      <c r="I9" s="328" t="s">
        <v>152</v>
      </c>
      <c r="J9" s="333" t="s">
        <v>117</v>
      </c>
      <c r="K9" s="328" t="s">
        <v>179</v>
      </c>
      <c r="L9" s="333" t="s">
        <v>635</v>
      </c>
      <c r="M9" s="334">
        <v>145000</v>
      </c>
    </row>
    <row r="10" spans="1:13" ht="15" customHeight="1" x14ac:dyDescent="0.35">
      <c r="A10" s="325" t="s">
        <v>173</v>
      </c>
      <c r="B10" s="326">
        <v>2017</v>
      </c>
      <c r="C10" s="302" t="s">
        <v>77</v>
      </c>
      <c r="D10" s="82" t="s">
        <v>509</v>
      </c>
      <c r="E10" s="294" t="s">
        <v>77</v>
      </c>
      <c r="F10" s="329">
        <v>2026</v>
      </c>
      <c r="G10" s="330" t="s">
        <v>590</v>
      </c>
      <c r="H10" s="305" t="s">
        <v>589</v>
      </c>
      <c r="I10" s="326" t="s">
        <v>152</v>
      </c>
      <c r="J10" s="331" t="s">
        <v>117</v>
      </c>
      <c r="K10" s="326" t="s">
        <v>155</v>
      </c>
      <c r="L10" s="331" t="s">
        <v>635</v>
      </c>
      <c r="M10" s="332">
        <v>88616</v>
      </c>
    </row>
    <row r="11" spans="1:13" ht="15" customHeight="1" thickBot="1" x14ac:dyDescent="0.4">
      <c r="A11" s="327" t="s">
        <v>164</v>
      </c>
      <c r="B11" s="328">
        <v>2017</v>
      </c>
      <c r="C11" s="303" t="s">
        <v>77</v>
      </c>
      <c r="D11" s="129" t="s">
        <v>509</v>
      </c>
      <c r="E11" s="296" t="s">
        <v>77</v>
      </c>
      <c r="F11" s="329">
        <v>2026</v>
      </c>
      <c r="G11" s="330" t="s">
        <v>590</v>
      </c>
      <c r="H11" s="307" t="s">
        <v>589</v>
      </c>
      <c r="I11" s="328" t="s">
        <v>152</v>
      </c>
      <c r="J11" s="333" t="s">
        <v>117</v>
      </c>
      <c r="K11" s="328" t="s">
        <v>67</v>
      </c>
      <c r="L11" s="333" t="s">
        <v>635</v>
      </c>
      <c r="M11" s="334">
        <v>43377</v>
      </c>
    </row>
    <row r="12" spans="1:13" ht="15" hidden="1" customHeight="1" thickBot="1" x14ac:dyDescent="0.4">
      <c r="A12" s="132" t="s">
        <v>458</v>
      </c>
      <c r="B12" s="133">
        <v>2017</v>
      </c>
      <c r="C12" s="134" t="s">
        <v>277</v>
      </c>
      <c r="D12" s="135" t="s">
        <v>525</v>
      </c>
      <c r="E12" s="133" t="s">
        <v>76</v>
      </c>
      <c r="F12" s="136">
        <v>2026</v>
      </c>
      <c r="G12" s="315" t="s">
        <v>632</v>
      </c>
      <c r="H12" s="137" t="s">
        <v>589</v>
      </c>
      <c r="I12" s="133" t="s">
        <v>152</v>
      </c>
      <c r="J12" s="135" t="s">
        <v>118</v>
      </c>
      <c r="K12" s="133" t="s">
        <v>84</v>
      </c>
      <c r="L12" s="135" t="s">
        <v>637</v>
      </c>
      <c r="M12" s="316"/>
    </row>
    <row r="13" spans="1:13" ht="15" customHeight="1" x14ac:dyDescent="0.35">
      <c r="A13" s="325" t="s">
        <v>171</v>
      </c>
      <c r="B13" s="326">
        <v>2017</v>
      </c>
      <c r="C13" s="308" t="s">
        <v>77</v>
      </c>
      <c r="D13" s="121" t="s">
        <v>509</v>
      </c>
      <c r="E13" s="293" t="s">
        <v>77</v>
      </c>
      <c r="F13" s="329">
        <v>2026</v>
      </c>
      <c r="G13" s="330" t="s">
        <v>590</v>
      </c>
      <c r="H13" s="304" t="s">
        <v>589</v>
      </c>
      <c r="I13" s="326" t="s">
        <v>152</v>
      </c>
      <c r="J13" s="331" t="s">
        <v>117</v>
      </c>
      <c r="K13" s="326" t="s">
        <v>67</v>
      </c>
      <c r="L13" s="331" t="s">
        <v>635</v>
      </c>
      <c r="M13" s="335">
        <v>60288</v>
      </c>
    </row>
    <row r="14" spans="1:13" ht="15" customHeight="1" x14ac:dyDescent="0.35">
      <c r="A14" s="327" t="s">
        <v>168</v>
      </c>
      <c r="B14" s="328">
        <v>2017</v>
      </c>
      <c r="C14" s="302" t="s">
        <v>77</v>
      </c>
      <c r="D14" s="77" t="s">
        <v>509</v>
      </c>
      <c r="E14" s="295" t="s">
        <v>77</v>
      </c>
      <c r="F14" s="329">
        <v>2026</v>
      </c>
      <c r="G14" s="330" t="s">
        <v>590</v>
      </c>
      <c r="H14" s="306" t="s">
        <v>589</v>
      </c>
      <c r="I14" s="328" t="s">
        <v>152</v>
      </c>
      <c r="J14" s="333" t="s">
        <v>117</v>
      </c>
      <c r="K14" s="328" t="s">
        <v>67</v>
      </c>
      <c r="L14" s="333" t="s">
        <v>635</v>
      </c>
      <c r="M14" s="334">
        <v>43944</v>
      </c>
    </row>
    <row r="15" spans="1:13" ht="15" customHeight="1" x14ac:dyDescent="0.35">
      <c r="A15" s="327" t="s">
        <v>158</v>
      </c>
      <c r="B15" s="328">
        <v>2017</v>
      </c>
      <c r="C15" s="302" t="s">
        <v>77</v>
      </c>
      <c r="D15" s="77" t="s">
        <v>509</v>
      </c>
      <c r="E15" s="295" t="s">
        <v>77</v>
      </c>
      <c r="F15" s="329">
        <v>2026</v>
      </c>
      <c r="G15" s="330" t="s">
        <v>590</v>
      </c>
      <c r="H15" s="306" t="s">
        <v>589</v>
      </c>
      <c r="I15" s="328" t="s">
        <v>152</v>
      </c>
      <c r="J15" s="333" t="s">
        <v>117</v>
      </c>
      <c r="K15" s="328" t="s">
        <v>147</v>
      </c>
      <c r="L15" s="333" t="s">
        <v>635</v>
      </c>
      <c r="M15" s="334">
        <v>63651</v>
      </c>
    </row>
    <row r="16" spans="1:13" ht="15" customHeight="1" thickBot="1" x14ac:dyDescent="0.4">
      <c r="A16" s="325" t="s">
        <v>151</v>
      </c>
      <c r="B16" s="326">
        <v>2017</v>
      </c>
      <c r="C16" s="309" t="s">
        <v>156</v>
      </c>
      <c r="D16" s="142" t="s">
        <v>545</v>
      </c>
      <c r="E16" s="297" t="s">
        <v>148</v>
      </c>
      <c r="F16" s="329">
        <v>2026</v>
      </c>
      <c r="G16" s="330" t="s">
        <v>590</v>
      </c>
      <c r="H16" s="310" t="s">
        <v>638</v>
      </c>
      <c r="I16" s="326" t="s">
        <v>152</v>
      </c>
      <c r="J16" s="331" t="s">
        <v>117</v>
      </c>
      <c r="K16" s="326" t="s">
        <v>155</v>
      </c>
      <c r="L16" s="331" t="s">
        <v>639</v>
      </c>
      <c r="M16" s="332">
        <v>47766</v>
      </c>
    </row>
    <row r="17" spans="1:13" ht="15" hidden="1" customHeight="1" x14ac:dyDescent="0.35">
      <c r="A17" s="317" t="s">
        <v>181</v>
      </c>
      <c r="B17" s="318">
        <v>2018</v>
      </c>
      <c r="C17" s="138" t="s">
        <v>77</v>
      </c>
      <c r="D17" s="147" t="s">
        <v>509</v>
      </c>
      <c r="E17" s="146" t="s">
        <v>77</v>
      </c>
      <c r="F17" s="319">
        <v>2027</v>
      </c>
      <c r="G17" s="320" t="s">
        <v>590</v>
      </c>
      <c r="H17" s="148" t="s">
        <v>595</v>
      </c>
      <c r="I17" s="318" t="s">
        <v>152</v>
      </c>
      <c r="J17" s="321" t="s">
        <v>117</v>
      </c>
      <c r="K17" s="318" t="s">
        <v>147</v>
      </c>
      <c r="L17" s="322" t="s">
        <v>182</v>
      </c>
      <c r="M17" s="323"/>
    </row>
    <row r="18" spans="1:13" ht="15" hidden="1" customHeight="1" thickBot="1" x14ac:dyDescent="0.4">
      <c r="A18" s="139" t="s">
        <v>185</v>
      </c>
      <c r="B18" s="140">
        <v>2018</v>
      </c>
      <c r="C18" s="150" t="s">
        <v>141</v>
      </c>
      <c r="D18" s="142" t="s">
        <v>68</v>
      </c>
      <c r="E18" s="140" t="s">
        <v>148</v>
      </c>
      <c r="F18" s="151">
        <v>2027</v>
      </c>
      <c r="G18" s="130" t="s">
        <v>590</v>
      </c>
      <c r="H18" s="143" t="s">
        <v>596</v>
      </c>
      <c r="I18" s="140" t="s">
        <v>152</v>
      </c>
      <c r="J18" s="142" t="s">
        <v>117</v>
      </c>
      <c r="K18" s="140" t="s">
        <v>67</v>
      </c>
      <c r="L18" s="144" t="s">
        <v>182</v>
      </c>
      <c r="M18" s="128"/>
    </row>
    <row r="19" spans="1:13" ht="15" hidden="1" customHeight="1" x14ac:dyDescent="0.35">
      <c r="A19" s="145" t="s">
        <v>188</v>
      </c>
      <c r="B19" s="146">
        <v>2019</v>
      </c>
      <c r="C19" s="152" t="s">
        <v>141</v>
      </c>
      <c r="D19" s="147" t="s">
        <v>537</v>
      </c>
      <c r="E19" s="146" t="s">
        <v>148</v>
      </c>
      <c r="F19" s="120">
        <v>2028</v>
      </c>
      <c r="G19" s="167" t="s">
        <v>632</v>
      </c>
      <c r="H19" s="148" t="s">
        <v>640</v>
      </c>
      <c r="I19" s="146" t="s">
        <v>152</v>
      </c>
      <c r="J19" s="147" t="s">
        <v>117</v>
      </c>
      <c r="K19" s="146" t="s">
        <v>147</v>
      </c>
      <c r="L19" s="149" t="s">
        <v>182</v>
      </c>
      <c r="M19" s="125"/>
    </row>
    <row r="20" spans="1:13" ht="15" hidden="1" customHeight="1" x14ac:dyDescent="0.4">
      <c r="A20" s="126" t="s">
        <v>229</v>
      </c>
      <c r="B20" s="74">
        <v>2019</v>
      </c>
      <c r="C20" s="76" t="s">
        <v>277</v>
      </c>
      <c r="D20" s="77" t="s">
        <v>513</v>
      </c>
      <c r="E20" s="74" t="s">
        <v>76</v>
      </c>
      <c r="F20" s="153">
        <v>2030</v>
      </c>
      <c r="G20" s="154" t="s">
        <v>632</v>
      </c>
      <c r="H20" s="127" t="s">
        <v>641</v>
      </c>
      <c r="I20" s="74" t="s">
        <v>152</v>
      </c>
      <c r="J20" s="77" t="s">
        <v>117</v>
      </c>
      <c r="K20" s="74" t="s">
        <v>155</v>
      </c>
      <c r="L20" s="128" t="s">
        <v>182</v>
      </c>
      <c r="M20" s="131"/>
    </row>
    <row r="21" spans="1:13" ht="15" hidden="1" customHeight="1" x14ac:dyDescent="0.35">
      <c r="A21" s="123" t="s">
        <v>464</v>
      </c>
      <c r="B21" s="80">
        <v>2019</v>
      </c>
      <c r="C21" s="76" t="s">
        <v>277</v>
      </c>
      <c r="D21" s="82" t="s">
        <v>513</v>
      </c>
      <c r="E21" s="80" t="s">
        <v>76</v>
      </c>
      <c r="F21" s="153">
        <v>2030</v>
      </c>
      <c r="G21" s="154" t="s">
        <v>632</v>
      </c>
      <c r="H21" s="124" t="s">
        <v>641</v>
      </c>
      <c r="I21" s="80" t="s">
        <v>152</v>
      </c>
      <c r="J21" s="82" t="s">
        <v>118</v>
      </c>
      <c r="K21" s="80" t="s">
        <v>84</v>
      </c>
      <c r="L21" s="125" t="s">
        <v>323</v>
      </c>
      <c r="M21" s="122"/>
    </row>
    <row r="22" spans="1:13" ht="15" hidden="1" customHeight="1" x14ac:dyDescent="0.35">
      <c r="A22" s="126" t="s">
        <v>376</v>
      </c>
      <c r="B22" s="74">
        <v>2019</v>
      </c>
      <c r="C22" s="76" t="s">
        <v>277</v>
      </c>
      <c r="D22" s="77" t="s">
        <v>534</v>
      </c>
      <c r="E22" s="74" t="s">
        <v>76</v>
      </c>
      <c r="F22" s="153">
        <v>2030</v>
      </c>
      <c r="G22" s="154" t="s">
        <v>632</v>
      </c>
      <c r="H22" s="127" t="s">
        <v>641</v>
      </c>
      <c r="I22" s="74" t="s">
        <v>152</v>
      </c>
      <c r="J22" s="77" t="s">
        <v>119</v>
      </c>
      <c r="K22" s="74" t="s">
        <v>79</v>
      </c>
      <c r="L22" s="128" t="s">
        <v>182</v>
      </c>
      <c r="M22" s="128"/>
    </row>
    <row r="23" spans="1:13" ht="15" hidden="1" customHeight="1" x14ac:dyDescent="0.35">
      <c r="A23" s="126" t="s">
        <v>378</v>
      </c>
      <c r="B23" s="74">
        <v>2019</v>
      </c>
      <c r="C23" s="85" t="s">
        <v>379</v>
      </c>
      <c r="D23" s="77" t="s">
        <v>533</v>
      </c>
      <c r="E23" s="74" t="s">
        <v>148</v>
      </c>
      <c r="F23" s="73">
        <v>2026</v>
      </c>
      <c r="G23" s="167" t="s">
        <v>632</v>
      </c>
      <c r="H23" s="127" t="s">
        <v>591</v>
      </c>
      <c r="I23" s="74" t="s">
        <v>152</v>
      </c>
      <c r="J23" s="77" t="s">
        <v>119</v>
      </c>
      <c r="K23" s="74" t="s">
        <v>79</v>
      </c>
      <c r="L23" s="128" t="s">
        <v>182</v>
      </c>
      <c r="M23" s="128"/>
    </row>
    <row r="24" spans="1:13" ht="15" hidden="1" customHeight="1" x14ac:dyDescent="0.4">
      <c r="A24" s="126" t="s">
        <v>198</v>
      </c>
      <c r="B24" s="74">
        <v>2019</v>
      </c>
      <c r="C24" s="84" t="s">
        <v>77</v>
      </c>
      <c r="D24" s="77" t="s">
        <v>509</v>
      </c>
      <c r="E24" s="74" t="s">
        <v>77</v>
      </c>
      <c r="F24" s="153">
        <v>2030</v>
      </c>
      <c r="G24" s="154" t="s">
        <v>632</v>
      </c>
      <c r="H24" s="127" t="s">
        <v>642</v>
      </c>
      <c r="I24" s="74" t="s">
        <v>152</v>
      </c>
      <c r="J24" s="77" t="s">
        <v>117</v>
      </c>
      <c r="K24" s="74" t="s">
        <v>147</v>
      </c>
      <c r="L24" s="128" t="s">
        <v>182</v>
      </c>
      <c r="M24" s="144"/>
    </row>
    <row r="25" spans="1:13" ht="15" hidden="1" customHeight="1" x14ac:dyDescent="0.35">
      <c r="A25" s="123" t="s">
        <v>212</v>
      </c>
      <c r="B25" s="80">
        <v>2019</v>
      </c>
      <c r="C25" s="84" t="s">
        <v>77</v>
      </c>
      <c r="D25" s="82" t="s">
        <v>509</v>
      </c>
      <c r="E25" s="80" t="s">
        <v>77</v>
      </c>
      <c r="F25" s="153">
        <v>2030</v>
      </c>
      <c r="G25" s="154" t="s">
        <v>632</v>
      </c>
      <c r="H25" s="124" t="s">
        <v>642</v>
      </c>
      <c r="I25" s="80" t="s">
        <v>152</v>
      </c>
      <c r="J25" s="82" t="s">
        <v>117</v>
      </c>
      <c r="K25" s="80" t="s">
        <v>67</v>
      </c>
      <c r="L25" s="125" t="s">
        <v>182</v>
      </c>
    </row>
    <row r="26" spans="1:13" ht="15" hidden="1" customHeight="1" x14ac:dyDescent="0.35">
      <c r="A26" s="126" t="s">
        <v>195</v>
      </c>
      <c r="B26" s="74">
        <v>2019</v>
      </c>
      <c r="C26" s="84" t="s">
        <v>77</v>
      </c>
      <c r="D26" s="77" t="s">
        <v>509</v>
      </c>
      <c r="E26" s="74" t="s">
        <v>77</v>
      </c>
      <c r="F26" s="153">
        <v>2030</v>
      </c>
      <c r="G26" s="154" t="s">
        <v>632</v>
      </c>
      <c r="H26" s="127" t="s">
        <v>642</v>
      </c>
      <c r="I26" s="74" t="s">
        <v>152</v>
      </c>
      <c r="J26" s="77" t="s">
        <v>117</v>
      </c>
      <c r="K26" s="74" t="s">
        <v>147</v>
      </c>
      <c r="L26" s="128" t="s">
        <v>182</v>
      </c>
    </row>
    <row r="27" spans="1:13" ht="15" hidden="1" customHeight="1" x14ac:dyDescent="0.35">
      <c r="A27" s="123" t="s">
        <v>227</v>
      </c>
      <c r="B27" s="80">
        <v>2019</v>
      </c>
      <c r="C27" s="84" t="s">
        <v>77</v>
      </c>
      <c r="D27" s="82" t="s">
        <v>509</v>
      </c>
      <c r="E27" s="80" t="s">
        <v>77</v>
      </c>
      <c r="F27" s="153">
        <v>2030</v>
      </c>
      <c r="G27" s="154" t="s">
        <v>632</v>
      </c>
      <c r="H27" s="124" t="s">
        <v>642</v>
      </c>
      <c r="I27" s="80" t="s">
        <v>152</v>
      </c>
      <c r="J27" s="82" t="s">
        <v>117</v>
      </c>
      <c r="K27" s="80" t="s">
        <v>67</v>
      </c>
      <c r="L27" s="125" t="s">
        <v>182</v>
      </c>
    </row>
    <row r="28" spans="1:13" ht="15" hidden="1" customHeight="1" x14ac:dyDescent="0.35">
      <c r="A28" s="123" t="s">
        <v>235</v>
      </c>
      <c r="B28" s="80">
        <v>2019</v>
      </c>
      <c r="C28" s="84" t="s">
        <v>77</v>
      </c>
      <c r="D28" s="82" t="s">
        <v>509</v>
      </c>
      <c r="E28" s="80" t="s">
        <v>77</v>
      </c>
      <c r="F28" s="153">
        <v>2030</v>
      </c>
      <c r="G28" s="154" t="s">
        <v>632</v>
      </c>
      <c r="H28" s="124" t="s">
        <v>642</v>
      </c>
      <c r="I28" s="80" t="s">
        <v>152</v>
      </c>
      <c r="J28" s="82" t="s">
        <v>117</v>
      </c>
      <c r="K28" s="80" t="s">
        <v>67</v>
      </c>
      <c r="L28" s="125" t="s">
        <v>182</v>
      </c>
    </row>
    <row r="29" spans="1:13" ht="15" hidden="1" customHeight="1" x14ac:dyDescent="0.35">
      <c r="A29" s="123" t="s">
        <v>471</v>
      </c>
      <c r="B29" s="80">
        <v>2019</v>
      </c>
      <c r="C29" s="85" t="s">
        <v>379</v>
      </c>
      <c r="D29" s="82" t="s">
        <v>523</v>
      </c>
      <c r="E29" s="80" t="s">
        <v>148</v>
      </c>
      <c r="F29" s="73">
        <v>2023</v>
      </c>
      <c r="G29" s="167" t="s">
        <v>632</v>
      </c>
      <c r="H29" s="124" t="s">
        <v>643</v>
      </c>
      <c r="I29" s="80" t="s">
        <v>152</v>
      </c>
      <c r="J29" s="82" t="s">
        <v>118</v>
      </c>
      <c r="K29" s="80" t="s">
        <v>469</v>
      </c>
      <c r="L29" s="125" t="s">
        <v>182</v>
      </c>
    </row>
    <row r="30" spans="1:13" ht="15" hidden="1" customHeight="1" x14ac:dyDescent="0.35">
      <c r="A30" s="126" t="s">
        <v>467</v>
      </c>
      <c r="B30" s="74">
        <v>2019</v>
      </c>
      <c r="C30" s="85" t="s">
        <v>379</v>
      </c>
      <c r="D30" s="77" t="s">
        <v>541</v>
      </c>
      <c r="E30" s="74" t="s">
        <v>148</v>
      </c>
      <c r="F30" s="73">
        <v>2023</v>
      </c>
      <c r="G30" s="167" t="s">
        <v>632</v>
      </c>
      <c r="H30" s="127" t="s">
        <v>643</v>
      </c>
      <c r="I30" s="74" t="s">
        <v>152</v>
      </c>
      <c r="J30" s="77" t="s">
        <v>118</v>
      </c>
      <c r="K30" s="74" t="s">
        <v>469</v>
      </c>
      <c r="L30" s="128" t="s">
        <v>323</v>
      </c>
    </row>
    <row r="31" spans="1:13" ht="15" hidden="1" customHeight="1" x14ac:dyDescent="0.35">
      <c r="A31" s="126" t="s">
        <v>206</v>
      </c>
      <c r="B31" s="74">
        <v>2019</v>
      </c>
      <c r="C31" s="89" t="s">
        <v>141</v>
      </c>
      <c r="D31" s="77" t="s">
        <v>548</v>
      </c>
      <c r="E31" s="74" t="s">
        <v>148</v>
      </c>
      <c r="F31" s="76">
        <v>2028</v>
      </c>
      <c r="G31" s="167" t="s">
        <v>632</v>
      </c>
      <c r="H31" s="127" t="s">
        <v>640</v>
      </c>
      <c r="I31" s="74" t="s">
        <v>152</v>
      </c>
      <c r="J31" s="77" t="s">
        <v>117</v>
      </c>
      <c r="K31" s="74" t="s">
        <v>155</v>
      </c>
      <c r="L31" s="128" t="s">
        <v>182</v>
      </c>
    </row>
    <row r="32" spans="1:13" ht="15" hidden="1" customHeight="1" x14ac:dyDescent="0.35">
      <c r="A32" s="123" t="s">
        <v>381</v>
      </c>
      <c r="B32" s="80">
        <v>2019</v>
      </c>
      <c r="C32" s="85" t="s">
        <v>379</v>
      </c>
      <c r="D32" s="82" t="s">
        <v>549</v>
      </c>
      <c r="E32" s="80" t="s">
        <v>148</v>
      </c>
      <c r="F32" s="73">
        <v>2023</v>
      </c>
      <c r="G32" s="79" t="s">
        <v>590</v>
      </c>
      <c r="H32" s="124" t="s">
        <v>643</v>
      </c>
      <c r="I32" s="80" t="s">
        <v>152</v>
      </c>
      <c r="J32" s="82" t="s">
        <v>119</v>
      </c>
      <c r="K32" s="80" t="s">
        <v>79</v>
      </c>
      <c r="L32" s="125" t="s">
        <v>182</v>
      </c>
    </row>
    <row r="33" spans="1:12" ht="15" hidden="1" customHeight="1" x14ac:dyDescent="0.35">
      <c r="A33" s="123" t="s">
        <v>238</v>
      </c>
      <c r="B33" s="80">
        <v>2019</v>
      </c>
      <c r="C33" s="89" t="s">
        <v>141</v>
      </c>
      <c r="D33" s="82" t="s">
        <v>71</v>
      </c>
      <c r="E33" s="80" t="s">
        <v>148</v>
      </c>
      <c r="F33" s="155" t="s">
        <v>69</v>
      </c>
      <c r="G33" s="154" t="s">
        <v>632</v>
      </c>
      <c r="H33" s="124" t="s">
        <v>13</v>
      </c>
      <c r="I33" s="80" t="s">
        <v>152</v>
      </c>
      <c r="J33" s="82" t="s">
        <v>117</v>
      </c>
      <c r="K33" s="80" t="s">
        <v>67</v>
      </c>
      <c r="L33" s="125" t="s">
        <v>182</v>
      </c>
    </row>
    <row r="34" spans="1:12" ht="15" hidden="1" customHeight="1" x14ac:dyDescent="0.35">
      <c r="A34" s="123" t="s">
        <v>191</v>
      </c>
      <c r="B34" s="80">
        <v>2019</v>
      </c>
      <c r="C34" s="89" t="s">
        <v>141</v>
      </c>
      <c r="D34" s="82" t="s">
        <v>192</v>
      </c>
      <c r="E34" s="80" t="s">
        <v>148</v>
      </c>
      <c r="F34" s="86">
        <v>2026</v>
      </c>
      <c r="G34" s="92" t="s">
        <v>593</v>
      </c>
      <c r="H34" s="124" t="s">
        <v>592</v>
      </c>
      <c r="I34" s="80" t="s">
        <v>152</v>
      </c>
      <c r="J34" s="82" t="s">
        <v>117</v>
      </c>
      <c r="K34" s="80" t="s">
        <v>67</v>
      </c>
      <c r="L34" s="125" t="s">
        <v>182</v>
      </c>
    </row>
    <row r="35" spans="1:12" ht="15" hidden="1" customHeight="1" x14ac:dyDescent="0.35">
      <c r="A35" s="123" t="s">
        <v>224</v>
      </c>
      <c r="B35" s="80">
        <v>2019</v>
      </c>
      <c r="C35" s="89" t="s">
        <v>141</v>
      </c>
      <c r="D35" s="82" t="s">
        <v>68</v>
      </c>
      <c r="E35" s="80" t="s">
        <v>148</v>
      </c>
      <c r="F35" s="76">
        <v>2028</v>
      </c>
      <c r="G35" s="79" t="s">
        <v>590</v>
      </c>
      <c r="H35" s="124" t="s">
        <v>598</v>
      </c>
      <c r="I35" s="80" t="s">
        <v>152</v>
      </c>
      <c r="J35" s="82" t="s">
        <v>117</v>
      </c>
      <c r="K35" s="80" t="s">
        <v>67</v>
      </c>
      <c r="L35" s="125" t="s">
        <v>182</v>
      </c>
    </row>
    <row r="36" spans="1:12" ht="15" hidden="1" customHeight="1" x14ac:dyDescent="0.35">
      <c r="A36" s="126" t="s">
        <v>215</v>
      </c>
      <c r="B36" s="74">
        <v>2019</v>
      </c>
      <c r="C36" s="89" t="s">
        <v>141</v>
      </c>
      <c r="D36" s="77" t="s">
        <v>68</v>
      </c>
      <c r="E36" s="74" t="s">
        <v>148</v>
      </c>
      <c r="F36" s="76">
        <v>2028</v>
      </c>
      <c r="G36" s="79" t="s">
        <v>590</v>
      </c>
      <c r="H36" s="127" t="s">
        <v>598</v>
      </c>
      <c r="I36" s="74" t="s">
        <v>152</v>
      </c>
      <c r="J36" s="77" t="s">
        <v>117</v>
      </c>
      <c r="K36" s="74" t="s">
        <v>67</v>
      </c>
      <c r="L36" s="128" t="s">
        <v>182</v>
      </c>
    </row>
    <row r="37" spans="1:12" ht="15" hidden="1" customHeight="1" x14ac:dyDescent="0.35">
      <c r="A37" s="123" t="s">
        <v>201</v>
      </c>
      <c r="B37" s="80">
        <v>2019</v>
      </c>
      <c r="C37" s="89" t="s">
        <v>141</v>
      </c>
      <c r="D37" s="82" t="s">
        <v>68</v>
      </c>
      <c r="E37" s="80" t="s">
        <v>148</v>
      </c>
      <c r="F37" s="76">
        <v>2028</v>
      </c>
      <c r="G37" s="79" t="s">
        <v>590</v>
      </c>
      <c r="H37" s="124" t="s">
        <v>598</v>
      </c>
      <c r="I37" s="80" t="s">
        <v>152</v>
      </c>
      <c r="J37" s="82" t="s">
        <v>117</v>
      </c>
      <c r="K37" s="80" t="s">
        <v>67</v>
      </c>
      <c r="L37" s="125" t="s">
        <v>182</v>
      </c>
    </row>
    <row r="38" spans="1:12" ht="15" hidden="1" customHeight="1" x14ac:dyDescent="0.35">
      <c r="A38" s="126" t="s">
        <v>209</v>
      </c>
      <c r="B38" s="74">
        <v>2019</v>
      </c>
      <c r="C38" s="89" t="s">
        <v>141</v>
      </c>
      <c r="D38" s="77" t="s">
        <v>68</v>
      </c>
      <c r="E38" s="74" t="s">
        <v>148</v>
      </c>
      <c r="F38" s="76">
        <v>2028</v>
      </c>
      <c r="G38" s="79" t="s">
        <v>590</v>
      </c>
      <c r="H38" s="127" t="s">
        <v>598</v>
      </c>
      <c r="I38" s="74" t="s">
        <v>152</v>
      </c>
      <c r="J38" s="77" t="s">
        <v>117</v>
      </c>
      <c r="K38" s="74" t="s">
        <v>67</v>
      </c>
      <c r="L38" s="128" t="s">
        <v>182</v>
      </c>
    </row>
    <row r="39" spans="1:12" ht="15" hidden="1" customHeight="1" x14ac:dyDescent="0.35">
      <c r="A39" s="123" t="s">
        <v>221</v>
      </c>
      <c r="B39" s="80">
        <v>2019</v>
      </c>
      <c r="C39" s="89" t="s">
        <v>141</v>
      </c>
      <c r="D39" s="82" t="s">
        <v>68</v>
      </c>
      <c r="E39" s="80" t="s">
        <v>148</v>
      </c>
      <c r="F39" s="76">
        <v>2028</v>
      </c>
      <c r="G39" s="79" t="s">
        <v>590</v>
      </c>
      <c r="H39" s="124" t="s">
        <v>598</v>
      </c>
      <c r="I39" s="80" t="s">
        <v>152</v>
      </c>
      <c r="J39" s="82" t="s">
        <v>117</v>
      </c>
      <c r="K39" s="80" t="s">
        <v>67</v>
      </c>
      <c r="L39" s="125" t="s">
        <v>182</v>
      </c>
    </row>
    <row r="40" spans="1:12" ht="15" hidden="1" customHeight="1" x14ac:dyDescent="0.35">
      <c r="A40" s="123" t="s">
        <v>204</v>
      </c>
      <c r="B40" s="80">
        <v>2019</v>
      </c>
      <c r="C40" s="89" t="s">
        <v>141</v>
      </c>
      <c r="D40" s="82" t="s">
        <v>68</v>
      </c>
      <c r="E40" s="80" t="s">
        <v>148</v>
      </c>
      <c r="F40" s="76">
        <v>2028</v>
      </c>
      <c r="G40" s="79" t="s">
        <v>590</v>
      </c>
      <c r="H40" s="124" t="s">
        <v>598</v>
      </c>
      <c r="I40" s="80" t="s">
        <v>152</v>
      </c>
      <c r="J40" s="82" t="s">
        <v>117</v>
      </c>
      <c r="K40" s="80" t="s">
        <v>67</v>
      </c>
      <c r="L40" s="125" t="s">
        <v>182</v>
      </c>
    </row>
    <row r="41" spans="1:12" ht="15" hidden="1" customHeight="1" x14ac:dyDescent="0.35">
      <c r="A41" s="126" t="s">
        <v>218</v>
      </c>
      <c r="B41" s="74">
        <v>2019</v>
      </c>
      <c r="C41" s="89" t="s">
        <v>141</v>
      </c>
      <c r="D41" s="77" t="s">
        <v>68</v>
      </c>
      <c r="E41" s="74" t="s">
        <v>148</v>
      </c>
      <c r="F41" s="76">
        <v>2028</v>
      </c>
      <c r="G41" s="79" t="s">
        <v>590</v>
      </c>
      <c r="H41" s="127" t="s">
        <v>598</v>
      </c>
      <c r="I41" s="74" t="s">
        <v>152</v>
      </c>
      <c r="J41" s="77" t="s">
        <v>117</v>
      </c>
      <c r="K41" s="74" t="s">
        <v>67</v>
      </c>
      <c r="L41" s="128" t="s">
        <v>182</v>
      </c>
    </row>
    <row r="42" spans="1:12" ht="15" hidden="1" customHeight="1" x14ac:dyDescent="0.35">
      <c r="A42" s="123" t="s">
        <v>232</v>
      </c>
      <c r="B42" s="80">
        <v>2019</v>
      </c>
      <c r="C42" s="89" t="s">
        <v>141</v>
      </c>
      <c r="D42" s="82" t="s">
        <v>68</v>
      </c>
      <c r="E42" s="80" t="s">
        <v>148</v>
      </c>
      <c r="F42" s="76">
        <v>2028</v>
      </c>
      <c r="G42" s="79" t="s">
        <v>590</v>
      </c>
      <c r="H42" s="124" t="s">
        <v>598</v>
      </c>
      <c r="I42" s="80" t="s">
        <v>152</v>
      </c>
      <c r="J42" s="82" t="s">
        <v>117</v>
      </c>
      <c r="K42" s="80" t="s">
        <v>147</v>
      </c>
      <c r="L42" s="125" t="s">
        <v>182</v>
      </c>
    </row>
    <row r="43" spans="1:12" ht="15" hidden="1" customHeight="1" x14ac:dyDescent="0.35">
      <c r="A43" s="126" t="s">
        <v>241</v>
      </c>
      <c r="B43" s="74">
        <v>2019</v>
      </c>
      <c r="C43" s="89" t="s">
        <v>141</v>
      </c>
      <c r="D43" s="77" t="s">
        <v>68</v>
      </c>
      <c r="E43" s="74" t="s">
        <v>148</v>
      </c>
      <c r="F43" s="76">
        <v>2028</v>
      </c>
      <c r="G43" s="79" t="s">
        <v>590</v>
      </c>
      <c r="H43" s="127" t="s">
        <v>598</v>
      </c>
      <c r="I43" s="74" t="s">
        <v>152</v>
      </c>
      <c r="J43" s="77" t="s">
        <v>117</v>
      </c>
      <c r="K43" s="74" t="s">
        <v>67</v>
      </c>
      <c r="L43" s="128" t="s">
        <v>182</v>
      </c>
    </row>
    <row r="44" spans="1:12" ht="15" hidden="1" customHeight="1" x14ac:dyDescent="0.35">
      <c r="A44" s="123" t="s">
        <v>397</v>
      </c>
      <c r="B44" s="80">
        <v>2022</v>
      </c>
      <c r="C44" s="76" t="s">
        <v>277</v>
      </c>
      <c r="D44" s="82" t="s">
        <v>538</v>
      </c>
      <c r="E44" s="80" t="s">
        <v>76</v>
      </c>
      <c r="F44" s="156">
        <v>2033</v>
      </c>
      <c r="G44" s="154" t="s">
        <v>632</v>
      </c>
      <c r="H44" s="124" t="s">
        <v>644</v>
      </c>
      <c r="I44" s="80" t="s">
        <v>152</v>
      </c>
      <c r="J44" s="82" t="s">
        <v>119</v>
      </c>
      <c r="K44" s="80" t="s">
        <v>79</v>
      </c>
      <c r="L44" s="125" t="s">
        <v>645</v>
      </c>
    </row>
    <row r="45" spans="1:12" ht="15" hidden="1" customHeight="1" x14ac:dyDescent="0.35">
      <c r="A45" s="123" t="s">
        <v>389</v>
      </c>
      <c r="B45" s="80">
        <v>2022</v>
      </c>
      <c r="C45" s="85" t="s">
        <v>379</v>
      </c>
      <c r="D45" s="82" t="s">
        <v>390</v>
      </c>
      <c r="E45" s="80" t="s">
        <v>148</v>
      </c>
      <c r="F45" s="155" t="s">
        <v>69</v>
      </c>
      <c r="G45" s="95" t="s">
        <v>646</v>
      </c>
      <c r="H45" s="124" t="s">
        <v>647</v>
      </c>
      <c r="I45" s="80" t="s">
        <v>152</v>
      </c>
      <c r="J45" s="82" t="s">
        <v>119</v>
      </c>
      <c r="K45" s="80" t="s">
        <v>79</v>
      </c>
      <c r="L45" s="125" t="s">
        <v>648</v>
      </c>
    </row>
    <row r="46" spans="1:12" ht="15" hidden="1" customHeight="1" x14ac:dyDescent="0.35">
      <c r="A46" s="126" t="s">
        <v>384</v>
      </c>
      <c r="B46" s="74">
        <v>2022</v>
      </c>
      <c r="C46" s="85" t="s">
        <v>379</v>
      </c>
      <c r="D46" s="77" t="s">
        <v>530</v>
      </c>
      <c r="E46" s="74" t="s">
        <v>82</v>
      </c>
      <c r="F46" s="155" t="s">
        <v>69</v>
      </c>
      <c r="G46" s="95" t="s">
        <v>649</v>
      </c>
      <c r="H46" s="127" t="s">
        <v>650</v>
      </c>
      <c r="I46" s="74" t="s">
        <v>152</v>
      </c>
      <c r="J46" s="77" t="s">
        <v>119</v>
      </c>
      <c r="K46" s="74" t="s">
        <v>79</v>
      </c>
      <c r="L46" s="128" t="s">
        <v>648</v>
      </c>
    </row>
    <row r="47" spans="1:12" ht="15" hidden="1" customHeight="1" x14ac:dyDescent="0.35">
      <c r="A47" s="126" t="s">
        <v>387</v>
      </c>
      <c r="B47" s="74">
        <v>2022</v>
      </c>
      <c r="C47" s="85" t="s">
        <v>379</v>
      </c>
      <c r="D47" s="77" t="s">
        <v>530</v>
      </c>
      <c r="E47" s="74" t="s">
        <v>82</v>
      </c>
      <c r="F47" s="155" t="s">
        <v>69</v>
      </c>
      <c r="G47" s="95" t="s">
        <v>649</v>
      </c>
      <c r="H47" s="127" t="s">
        <v>650</v>
      </c>
      <c r="I47" s="74" t="s">
        <v>152</v>
      </c>
      <c r="J47" s="77" t="s">
        <v>119</v>
      </c>
      <c r="K47" s="74" t="s">
        <v>79</v>
      </c>
      <c r="L47" s="128" t="s">
        <v>648</v>
      </c>
    </row>
    <row r="48" spans="1:12" ht="15" hidden="1" customHeight="1" x14ac:dyDescent="0.35">
      <c r="A48" s="123" t="s">
        <v>392</v>
      </c>
      <c r="B48" s="80">
        <v>2022</v>
      </c>
      <c r="C48" s="85" t="s">
        <v>379</v>
      </c>
      <c r="D48" s="82" t="s">
        <v>505</v>
      </c>
      <c r="E48" s="80" t="s">
        <v>148</v>
      </c>
      <c r="F48" s="155" t="s">
        <v>69</v>
      </c>
      <c r="G48" s="157" t="s">
        <v>651</v>
      </c>
      <c r="H48" s="124" t="s">
        <v>652</v>
      </c>
      <c r="I48" s="80" t="s">
        <v>152</v>
      </c>
      <c r="J48" s="82" t="s">
        <v>119</v>
      </c>
      <c r="K48" s="80" t="s">
        <v>79</v>
      </c>
      <c r="L48" s="125" t="s">
        <v>648</v>
      </c>
    </row>
    <row r="49" spans="1:12" ht="15" hidden="1" customHeight="1" x14ac:dyDescent="0.35">
      <c r="A49" s="126" t="s">
        <v>395</v>
      </c>
      <c r="B49" s="74">
        <v>2022</v>
      </c>
      <c r="C49" s="85" t="s">
        <v>379</v>
      </c>
      <c r="D49" s="77" t="s">
        <v>505</v>
      </c>
      <c r="E49" s="74" t="s">
        <v>148</v>
      </c>
      <c r="F49" s="155" t="s">
        <v>69</v>
      </c>
      <c r="G49" s="157" t="s">
        <v>651</v>
      </c>
      <c r="H49" s="127" t="s">
        <v>653</v>
      </c>
      <c r="I49" s="74" t="s">
        <v>152</v>
      </c>
      <c r="J49" s="77" t="s">
        <v>119</v>
      </c>
      <c r="K49" s="74" t="s">
        <v>79</v>
      </c>
      <c r="L49" s="128" t="s">
        <v>648</v>
      </c>
    </row>
    <row r="50" spans="1:12" ht="15" hidden="1" customHeight="1" thickBot="1" x14ac:dyDescent="0.4">
      <c r="A50" s="139" t="s">
        <v>400</v>
      </c>
      <c r="B50" s="140">
        <v>2022</v>
      </c>
      <c r="C50" s="158" t="s">
        <v>379</v>
      </c>
      <c r="D50" s="142" t="s">
        <v>505</v>
      </c>
      <c r="E50" s="140" t="s">
        <v>148</v>
      </c>
      <c r="F50" s="141" t="s">
        <v>69</v>
      </c>
      <c r="G50" s="159" t="s">
        <v>651</v>
      </c>
      <c r="H50" s="143" t="s">
        <v>653</v>
      </c>
      <c r="I50" s="140" t="s">
        <v>152</v>
      </c>
      <c r="J50" s="142" t="s">
        <v>119</v>
      </c>
      <c r="K50" s="140" t="s">
        <v>79</v>
      </c>
      <c r="L50" s="144" t="s">
        <v>645</v>
      </c>
    </row>
    <row r="51" spans="1:12" ht="15" hidden="1" customHeight="1" x14ac:dyDescent="0.35">
      <c r="A51" s="160" t="s">
        <v>248</v>
      </c>
      <c r="B51" s="161">
        <v>2023</v>
      </c>
      <c r="C51" s="162" t="s">
        <v>277</v>
      </c>
      <c r="D51" s="163" t="s">
        <v>516</v>
      </c>
      <c r="E51" s="161" t="s">
        <v>76</v>
      </c>
      <c r="F51" s="164">
        <v>2034</v>
      </c>
      <c r="G51" s="165" t="s">
        <v>632</v>
      </c>
      <c r="H51" s="166" t="s">
        <v>654</v>
      </c>
      <c r="I51" s="161" t="s">
        <v>152</v>
      </c>
      <c r="J51" s="163" t="s">
        <v>117</v>
      </c>
      <c r="K51" s="161" t="s">
        <v>67</v>
      </c>
      <c r="L51" s="163" t="s">
        <v>639</v>
      </c>
    </row>
    <row r="52" spans="1:12" ht="15" hidden="1" customHeight="1" x14ac:dyDescent="0.35">
      <c r="A52" s="81" t="s">
        <v>279</v>
      </c>
      <c r="B52" s="80">
        <v>2023</v>
      </c>
      <c r="C52" s="76" t="s">
        <v>277</v>
      </c>
      <c r="D52" s="82" t="s">
        <v>516</v>
      </c>
      <c r="E52" s="80" t="s">
        <v>76</v>
      </c>
      <c r="F52" s="156">
        <v>2034</v>
      </c>
      <c r="G52" s="154" t="s">
        <v>632</v>
      </c>
      <c r="H52" s="124" t="s">
        <v>654</v>
      </c>
      <c r="I52" s="80" t="s">
        <v>152</v>
      </c>
      <c r="J52" s="82" t="s">
        <v>117</v>
      </c>
      <c r="K52" s="80" t="s">
        <v>67</v>
      </c>
      <c r="L52" s="82" t="s">
        <v>655</v>
      </c>
    </row>
    <row r="53" spans="1:12" ht="15" hidden="1" customHeight="1" x14ac:dyDescent="0.35">
      <c r="A53" s="75" t="s">
        <v>275</v>
      </c>
      <c r="B53" s="74">
        <v>2023</v>
      </c>
      <c r="C53" s="89" t="s">
        <v>141</v>
      </c>
      <c r="D53" s="77" t="s">
        <v>546</v>
      </c>
      <c r="E53" s="74" t="s">
        <v>148</v>
      </c>
      <c r="F53" s="156">
        <v>2032</v>
      </c>
      <c r="G53" s="154" t="s">
        <v>632</v>
      </c>
      <c r="H53" s="127" t="s">
        <v>656</v>
      </c>
      <c r="I53" s="74" t="s">
        <v>152</v>
      </c>
      <c r="J53" s="77" t="s">
        <v>117</v>
      </c>
      <c r="K53" s="74" t="s">
        <v>67</v>
      </c>
      <c r="L53" s="77" t="s">
        <v>645</v>
      </c>
    </row>
    <row r="54" spans="1:12" ht="15" hidden="1" customHeight="1" x14ac:dyDescent="0.35">
      <c r="A54" s="75" t="s">
        <v>303</v>
      </c>
      <c r="B54" s="74">
        <v>2023</v>
      </c>
      <c r="C54" s="84" t="s">
        <v>77</v>
      </c>
      <c r="D54" s="77" t="s">
        <v>509</v>
      </c>
      <c r="E54" s="74" t="s">
        <v>77</v>
      </c>
      <c r="F54" s="156">
        <v>2034</v>
      </c>
      <c r="G54" s="154" t="s">
        <v>632</v>
      </c>
      <c r="H54" s="127" t="s">
        <v>657</v>
      </c>
      <c r="I54" s="74" t="s">
        <v>152</v>
      </c>
      <c r="J54" s="77" t="s">
        <v>117</v>
      </c>
      <c r="K54" s="74" t="s">
        <v>147</v>
      </c>
      <c r="L54" s="77" t="s">
        <v>655</v>
      </c>
    </row>
    <row r="55" spans="1:12" ht="15" hidden="1" customHeight="1" x14ac:dyDescent="0.35">
      <c r="A55" s="81" t="s">
        <v>475</v>
      </c>
      <c r="B55" s="80">
        <v>2023</v>
      </c>
      <c r="C55" s="85" t="s">
        <v>379</v>
      </c>
      <c r="D55" s="82" t="s">
        <v>523</v>
      </c>
      <c r="E55" s="80" t="s">
        <v>148</v>
      </c>
      <c r="F55" s="93">
        <v>2027</v>
      </c>
      <c r="G55" s="154" t="s">
        <v>658</v>
      </c>
      <c r="H55" s="124" t="s">
        <v>659</v>
      </c>
      <c r="I55" s="80" t="s">
        <v>152</v>
      </c>
      <c r="J55" s="82" t="s">
        <v>118</v>
      </c>
      <c r="K55" s="80" t="s">
        <v>84</v>
      </c>
      <c r="L55" s="82" t="s">
        <v>636</v>
      </c>
    </row>
    <row r="56" spans="1:12" ht="15" hidden="1" customHeight="1" x14ac:dyDescent="0.35">
      <c r="A56" s="75" t="s">
        <v>473</v>
      </c>
      <c r="B56" s="74">
        <v>2023</v>
      </c>
      <c r="C56" s="85" t="s">
        <v>379</v>
      </c>
      <c r="D56" s="77" t="s">
        <v>523</v>
      </c>
      <c r="E56" s="74" t="s">
        <v>148</v>
      </c>
      <c r="F56" s="93">
        <v>2027</v>
      </c>
      <c r="G56" s="154" t="s">
        <v>658</v>
      </c>
      <c r="H56" s="127" t="s">
        <v>659</v>
      </c>
      <c r="I56" s="74" t="s">
        <v>152</v>
      </c>
      <c r="J56" s="77" t="s">
        <v>118</v>
      </c>
      <c r="K56" s="74" t="s">
        <v>84</v>
      </c>
      <c r="L56" s="77" t="s">
        <v>636</v>
      </c>
    </row>
    <row r="57" spans="1:12" ht="15" hidden="1" customHeight="1" x14ac:dyDescent="0.35">
      <c r="A57" s="81" t="s">
        <v>403</v>
      </c>
      <c r="B57" s="80">
        <v>2023</v>
      </c>
      <c r="C57" s="85" t="s">
        <v>379</v>
      </c>
      <c r="D57" s="82" t="s">
        <v>505</v>
      </c>
      <c r="E57" s="80" t="s">
        <v>148</v>
      </c>
      <c r="F57" s="93">
        <v>2027</v>
      </c>
      <c r="G57" s="154" t="s">
        <v>658</v>
      </c>
      <c r="H57" s="124" t="s">
        <v>659</v>
      </c>
      <c r="I57" s="80" t="s">
        <v>152</v>
      </c>
      <c r="J57" s="82" t="s">
        <v>119</v>
      </c>
      <c r="K57" s="80" t="s">
        <v>79</v>
      </c>
      <c r="L57" s="82" t="s">
        <v>648</v>
      </c>
    </row>
    <row r="58" spans="1:12" ht="15" hidden="1" customHeight="1" x14ac:dyDescent="0.35">
      <c r="A58" s="75" t="s">
        <v>406</v>
      </c>
      <c r="B58" s="74">
        <v>2023</v>
      </c>
      <c r="C58" s="85" t="s">
        <v>379</v>
      </c>
      <c r="D58" s="77" t="s">
        <v>505</v>
      </c>
      <c r="E58" s="74" t="s">
        <v>148</v>
      </c>
      <c r="F58" s="93">
        <v>2027</v>
      </c>
      <c r="G58" s="154" t="s">
        <v>658</v>
      </c>
      <c r="H58" s="127" t="s">
        <v>659</v>
      </c>
      <c r="I58" s="74" t="s">
        <v>152</v>
      </c>
      <c r="J58" s="77" t="s">
        <v>119</v>
      </c>
      <c r="K58" s="74" t="s">
        <v>79</v>
      </c>
      <c r="L58" s="77" t="s">
        <v>655</v>
      </c>
    </row>
    <row r="59" spans="1:12" ht="15" hidden="1" customHeight="1" x14ac:dyDescent="0.35">
      <c r="A59" s="81" t="s">
        <v>271</v>
      </c>
      <c r="B59" s="80">
        <v>2023</v>
      </c>
      <c r="C59" s="89" t="s">
        <v>141</v>
      </c>
      <c r="D59" s="82" t="s">
        <v>68</v>
      </c>
      <c r="E59" s="80" t="s">
        <v>148</v>
      </c>
      <c r="F59" s="156">
        <v>2032</v>
      </c>
      <c r="G59" s="154" t="s">
        <v>632</v>
      </c>
      <c r="H59" s="124" t="s">
        <v>656</v>
      </c>
      <c r="I59" s="80" t="s">
        <v>152</v>
      </c>
      <c r="J59" s="82" t="s">
        <v>117</v>
      </c>
      <c r="K59" s="80" t="s">
        <v>67</v>
      </c>
      <c r="L59" s="82" t="s">
        <v>645</v>
      </c>
    </row>
    <row r="60" spans="1:12" ht="15" hidden="1" customHeight="1" x14ac:dyDescent="0.35">
      <c r="A60" s="81" t="s">
        <v>258</v>
      </c>
      <c r="B60" s="80">
        <v>2023</v>
      </c>
      <c r="C60" s="89" t="s">
        <v>141</v>
      </c>
      <c r="D60" s="82" t="s">
        <v>68</v>
      </c>
      <c r="E60" s="80" t="s">
        <v>148</v>
      </c>
      <c r="F60" s="156">
        <v>2032</v>
      </c>
      <c r="G60" s="154" t="s">
        <v>632</v>
      </c>
      <c r="H60" s="124" t="s">
        <v>656</v>
      </c>
      <c r="I60" s="80" t="s">
        <v>152</v>
      </c>
      <c r="J60" s="82" t="s">
        <v>117</v>
      </c>
      <c r="K60" s="80" t="s">
        <v>67</v>
      </c>
      <c r="L60" s="82" t="s">
        <v>648</v>
      </c>
    </row>
    <row r="61" spans="1:12" ht="15" hidden="1" customHeight="1" x14ac:dyDescent="0.35">
      <c r="A61" s="75" t="s">
        <v>244</v>
      </c>
      <c r="B61" s="74">
        <v>2023</v>
      </c>
      <c r="C61" s="89" t="s">
        <v>141</v>
      </c>
      <c r="D61" s="77" t="s">
        <v>68</v>
      </c>
      <c r="E61" s="74" t="s">
        <v>148</v>
      </c>
      <c r="F61" s="156">
        <v>2032</v>
      </c>
      <c r="G61" s="154" t="s">
        <v>632</v>
      </c>
      <c r="H61" s="127" t="s">
        <v>656</v>
      </c>
      <c r="I61" s="74" t="s">
        <v>152</v>
      </c>
      <c r="J61" s="77" t="s">
        <v>117</v>
      </c>
      <c r="K61" s="74" t="s">
        <v>67</v>
      </c>
      <c r="L61" s="77" t="s">
        <v>648</v>
      </c>
    </row>
    <row r="62" spans="1:12" ht="15" hidden="1" customHeight="1" x14ac:dyDescent="0.35">
      <c r="A62" s="81" t="s">
        <v>264</v>
      </c>
      <c r="B62" s="80">
        <v>2023</v>
      </c>
      <c r="C62" s="89" t="s">
        <v>141</v>
      </c>
      <c r="D62" s="82" t="s">
        <v>68</v>
      </c>
      <c r="E62" s="80" t="s">
        <v>148</v>
      </c>
      <c r="F62" s="156">
        <v>2032</v>
      </c>
      <c r="G62" s="154" t="s">
        <v>632</v>
      </c>
      <c r="H62" s="124" t="s">
        <v>656</v>
      </c>
      <c r="I62" s="80" t="s">
        <v>152</v>
      </c>
      <c r="J62" s="82" t="s">
        <v>117</v>
      </c>
      <c r="K62" s="80" t="s">
        <v>67</v>
      </c>
      <c r="L62" s="82" t="s">
        <v>648</v>
      </c>
    </row>
    <row r="63" spans="1:12" ht="15" hidden="1" customHeight="1" x14ac:dyDescent="0.35">
      <c r="A63" s="75" t="s">
        <v>261</v>
      </c>
      <c r="B63" s="74">
        <v>2023</v>
      </c>
      <c r="C63" s="89" t="s">
        <v>141</v>
      </c>
      <c r="D63" s="77" t="s">
        <v>68</v>
      </c>
      <c r="E63" s="74" t="s">
        <v>148</v>
      </c>
      <c r="F63" s="156">
        <v>2032</v>
      </c>
      <c r="G63" s="154" t="s">
        <v>632</v>
      </c>
      <c r="H63" s="127" t="s">
        <v>656</v>
      </c>
      <c r="I63" s="74" t="s">
        <v>152</v>
      </c>
      <c r="J63" s="77" t="s">
        <v>117</v>
      </c>
      <c r="K63" s="74" t="s">
        <v>67</v>
      </c>
      <c r="L63" s="77" t="s">
        <v>648</v>
      </c>
    </row>
    <row r="64" spans="1:12" ht="15" hidden="1" customHeight="1" x14ac:dyDescent="0.35">
      <c r="A64" s="81" t="s">
        <v>252</v>
      </c>
      <c r="B64" s="80">
        <v>2023</v>
      </c>
      <c r="C64" s="89" t="s">
        <v>141</v>
      </c>
      <c r="D64" s="82" t="s">
        <v>68</v>
      </c>
      <c r="E64" s="80" t="s">
        <v>148</v>
      </c>
      <c r="F64" s="156">
        <v>2032</v>
      </c>
      <c r="G64" s="154" t="s">
        <v>632</v>
      </c>
      <c r="H64" s="124" t="s">
        <v>656</v>
      </c>
      <c r="I64" s="80" t="s">
        <v>152</v>
      </c>
      <c r="J64" s="82" t="s">
        <v>117</v>
      </c>
      <c r="K64" s="80" t="s">
        <v>67</v>
      </c>
      <c r="L64" s="82" t="s">
        <v>639</v>
      </c>
    </row>
    <row r="65" spans="1:12" ht="15" hidden="1" customHeight="1" x14ac:dyDescent="0.35">
      <c r="A65" s="75" t="s">
        <v>255</v>
      </c>
      <c r="B65" s="74">
        <v>2023</v>
      </c>
      <c r="C65" s="89" t="s">
        <v>141</v>
      </c>
      <c r="D65" s="77" t="s">
        <v>68</v>
      </c>
      <c r="E65" s="74" t="s">
        <v>148</v>
      </c>
      <c r="F65" s="156">
        <v>2032</v>
      </c>
      <c r="G65" s="154" t="s">
        <v>632</v>
      </c>
      <c r="H65" s="127" t="s">
        <v>656</v>
      </c>
      <c r="I65" s="74" t="s">
        <v>152</v>
      </c>
      <c r="J65" s="77" t="s">
        <v>117</v>
      </c>
      <c r="K65" s="74" t="s">
        <v>67</v>
      </c>
      <c r="L65" s="77" t="s">
        <v>648</v>
      </c>
    </row>
    <row r="66" spans="1:12" ht="15" hidden="1" customHeight="1" x14ac:dyDescent="0.35">
      <c r="A66" s="81" t="s">
        <v>267</v>
      </c>
      <c r="B66" s="80">
        <v>2023</v>
      </c>
      <c r="C66" s="89" t="s">
        <v>141</v>
      </c>
      <c r="D66" s="82" t="s">
        <v>68</v>
      </c>
      <c r="E66" s="80" t="s">
        <v>148</v>
      </c>
      <c r="F66" s="156">
        <v>2032</v>
      </c>
      <c r="G66" s="154" t="s">
        <v>632</v>
      </c>
      <c r="H66" s="124" t="s">
        <v>656</v>
      </c>
      <c r="I66" s="80" t="s">
        <v>152</v>
      </c>
      <c r="J66" s="82" t="s">
        <v>117</v>
      </c>
      <c r="K66" s="80" t="s">
        <v>67</v>
      </c>
      <c r="L66" s="82" t="s">
        <v>655</v>
      </c>
    </row>
    <row r="67" spans="1:12" ht="15" hidden="1" customHeight="1" x14ac:dyDescent="0.35">
      <c r="A67" s="75" t="s">
        <v>301</v>
      </c>
      <c r="B67" s="74">
        <v>2023</v>
      </c>
      <c r="C67" s="89" t="s">
        <v>141</v>
      </c>
      <c r="D67" s="77" t="s">
        <v>68</v>
      </c>
      <c r="E67" s="74" t="s">
        <v>148</v>
      </c>
      <c r="F67" s="156">
        <v>2032</v>
      </c>
      <c r="G67" s="154" t="s">
        <v>632</v>
      </c>
      <c r="H67" s="127" t="s">
        <v>656</v>
      </c>
      <c r="I67" s="74" t="s">
        <v>152</v>
      </c>
      <c r="J67" s="77" t="s">
        <v>117</v>
      </c>
      <c r="K67" s="74" t="s">
        <v>147</v>
      </c>
      <c r="L67" s="77" t="s">
        <v>655</v>
      </c>
    </row>
    <row r="68" spans="1:12" ht="15" hidden="1" customHeight="1" x14ac:dyDescent="0.35">
      <c r="A68" s="81" t="s">
        <v>284</v>
      </c>
      <c r="B68" s="80">
        <v>2024</v>
      </c>
      <c r="C68" s="76" t="s">
        <v>277</v>
      </c>
      <c r="D68" s="82" t="s">
        <v>513</v>
      </c>
      <c r="E68" s="80" t="s">
        <v>76</v>
      </c>
      <c r="F68" s="156">
        <v>2035</v>
      </c>
      <c r="G68" s="154" t="s">
        <v>632</v>
      </c>
      <c r="H68" s="124" t="s">
        <v>660</v>
      </c>
      <c r="I68" s="80" t="s">
        <v>152</v>
      </c>
      <c r="J68" s="82" t="s">
        <v>117</v>
      </c>
      <c r="K68" s="80" t="s">
        <v>67</v>
      </c>
      <c r="L68" s="82" t="s">
        <v>655</v>
      </c>
    </row>
    <row r="69" spans="1:12" ht="15" hidden="1" customHeight="1" x14ac:dyDescent="0.35">
      <c r="A69" s="81" t="s">
        <v>296</v>
      </c>
      <c r="B69" s="80">
        <v>2024</v>
      </c>
      <c r="C69" s="76" t="s">
        <v>277</v>
      </c>
      <c r="D69" s="82" t="s">
        <v>513</v>
      </c>
      <c r="E69" s="80" t="s">
        <v>76</v>
      </c>
      <c r="F69" s="156">
        <v>2035</v>
      </c>
      <c r="G69" s="154" t="s">
        <v>632</v>
      </c>
      <c r="H69" s="124" t="s">
        <v>660</v>
      </c>
      <c r="I69" s="80" t="s">
        <v>152</v>
      </c>
      <c r="J69" s="82" t="s">
        <v>117</v>
      </c>
      <c r="K69" s="80" t="s">
        <v>67</v>
      </c>
      <c r="L69" s="82" t="s">
        <v>655</v>
      </c>
    </row>
    <row r="70" spans="1:12" ht="15" hidden="1" customHeight="1" x14ac:dyDescent="0.35">
      <c r="A70" s="75" t="s">
        <v>421</v>
      </c>
      <c r="B70" s="74">
        <v>2024</v>
      </c>
      <c r="C70" s="76" t="s">
        <v>277</v>
      </c>
      <c r="D70" s="77" t="s">
        <v>533</v>
      </c>
      <c r="E70" s="74" t="s">
        <v>76</v>
      </c>
      <c r="F70" s="156">
        <v>2035</v>
      </c>
      <c r="G70" s="154" t="s">
        <v>632</v>
      </c>
      <c r="H70" s="127" t="s">
        <v>660</v>
      </c>
      <c r="I70" s="74" t="s">
        <v>152</v>
      </c>
      <c r="J70" s="77" t="s">
        <v>119</v>
      </c>
      <c r="K70" s="74" t="s">
        <v>79</v>
      </c>
      <c r="L70" s="77" t="s">
        <v>655</v>
      </c>
    </row>
    <row r="71" spans="1:12" ht="15" hidden="1" customHeight="1" x14ac:dyDescent="0.35">
      <c r="A71" s="75" t="s">
        <v>282</v>
      </c>
      <c r="B71" s="74">
        <v>2024</v>
      </c>
      <c r="C71" s="76" t="s">
        <v>277</v>
      </c>
      <c r="D71" s="77" t="s">
        <v>516</v>
      </c>
      <c r="E71" s="74" t="s">
        <v>76</v>
      </c>
      <c r="F71" s="156">
        <v>2035</v>
      </c>
      <c r="G71" s="154" t="s">
        <v>632</v>
      </c>
      <c r="H71" s="127" t="s">
        <v>660</v>
      </c>
      <c r="I71" s="74" t="s">
        <v>152</v>
      </c>
      <c r="J71" s="77" t="s">
        <v>117</v>
      </c>
      <c r="K71" s="74" t="s">
        <v>67</v>
      </c>
      <c r="L71" s="77" t="s">
        <v>655</v>
      </c>
    </row>
    <row r="72" spans="1:12" ht="15" hidden="1" customHeight="1" x14ac:dyDescent="0.35">
      <c r="A72" s="75" t="s">
        <v>477</v>
      </c>
      <c r="B72" s="74">
        <v>2024</v>
      </c>
      <c r="C72" s="85" t="s">
        <v>379</v>
      </c>
      <c r="D72" s="77" t="s">
        <v>544</v>
      </c>
      <c r="E72" s="74" t="s">
        <v>148</v>
      </c>
      <c r="F72" s="76">
        <v>2028</v>
      </c>
      <c r="G72" s="154" t="s">
        <v>658</v>
      </c>
      <c r="H72" s="127" t="s">
        <v>661</v>
      </c>
      <c r="I72" s="74" t="s">
        <v>152</v>
      </c>
      <c r="J72" s="77" t="s">
        <v>118</v>
      </c>
      <c r="K72" s="74" t="s">
        <v>84</v>
      </c>
      <c r="L72" s="77" t="s">
        <v>648</v>
      </c>
    </row>
    <row r="73" spans="1:12" ht="15" hidden="1" customHeight="1" x14ac:dyDescent="0.35">
      <c r="A73" s="75" t="s">
        <v>290</v>
      </c>
      <c r="B73" s="74">
        <v>2024</v>
      </c>
      <c r="C73" s="89" t="s">
        <v>141</v>
      </c>
      <c r="D73" s="77" t="s">
        <v>540</v>
      </c>
      <c r="E73" s="74" t="s">
        <v>148</v>
      </c>
      <c r="F73" s="156">
        <v>2033</v>
      </c>
      <c r="G73" s="154" t="s">
        <v>632</v>
      </c>
      <c r="H73" s="127" t="s">
        <v>662</v>
      </c>
      <c r="I73" s="74" t="s">
        <v>152</v>
      </c>
      <c r="J73" s="77" t="s">
        <v>117</v>
      </c>
      <c r="K73" s="74" t="s">
        <v>67</v>
      </c>
      <c r="L73" s="77" t="s">
        <v>655</v>
      </c>
    </row>
    <row r="74" spans="1:12" ht="15" hidden="1" customHeight="1" x14ac:dyDescent="0.35">
      <c r="A74" s="81" t="s">
        <v>411</v>
      </c>
      <c r="B74" s="80">
        <v>2024</v>
      </c>
      <c r="C74" s="85" t="s">
        <v>379</v>
      </c>
      <c r="D74" s="82" t="s">
        <v>505</v>
      </c>
      <c r="E74" s="80" t="s">
        <v>148</v>
      </c>
      <c r="F74" s="76">
        <v>2028</v>
      </c>
      <c r="G74" s="154" t="s">
        <v>658</v>
      </c>
      <c r="H74" s="124" t="s">
        <v>661</v>
      </c>
      <c r="I74" s="80" t="s">
        <v>152</v>
      </c>
      <c r="J74" s="82" t="s">
        <v>119</v>
      </c>
      <c r="K74" s="80" t="s">
        <v>155</v>
      </c>
      <c r="L74" s="82" t="s">
        <v>648</v>
      </c>
    </row>
    <row r="75" spans="1:12" ht="15" hidden="1" customHeight="1" x14ac:dyDescent="0.35">
      <c r="A75" s="81" t="s">
        <v>408</v>
      </c>
      <c r="B75" s="80">
        <v>2024</v>
      </c>
      <c r="C75" s="85" t="s">
        <v>379</v>
      </c>
      <c r="D75" s="82" t="s">
        <v>505</v>
      </c>
      <c r="E75" s="80" t="s">
        <v>148</v>
      </c>
      <c r="F75" s="76">
        <v>2028</v>
      </c>
      <c r="G75" s="154" t="s">
        <v>658</v>
      </c>
      <c r="H75" s="124" t="s">
        <v>661</v>
      </c>
      <c r="I75" s="80" t="s">
        <v>152</v>
      </c>
      <c r="J75" s="82" t="s">
        <v>119</v>
      </c>
      <c r="K75" s="80" t="s">
        <v>79</v>
      </c>
      <c r="L75" s="82" t="s">
        <v>655</v>
      </c>
    </row>
    <row r="76" spans="1:12" ht="15" hidden="1" customHeight="1" x14ac:dyDescent="0.35">
      <c r="A76" s="75" t="s">
        <v>414</v>
      </c>
      <c r="B76" s="74">
        <v>2024</v>
      </c>
      <c r="C76" s="85" t="s">
        <v>379</v>
      </c>
      <c r="D76" s="77" t="s">
        <v>505</v>
      </c>
      <c r="E76" s="74" t="s">
        <v>148</v>
      </c>
      <c r="F76" s="76">
        <v>2028</v>
      </c>
      <c r="G76" s="154" t="s">
        <v>658</v>
      </c>
      <c r="H76" s="127" t="s">
        <v>661</v>
      </c>
      <c r="I76" s="74" t="s">
        <v>152</v>
      </c>
      <c r="J76" s="77" t="s">
        <v>119</v>
      </c>
      <c r="K76" s="74" t="s">
        <v>79</v>
      </c>
      <c r="L76" s="77" t="s">
        <v>655</v>
      </c>
    </row>
    <row r="77" spans="1:12" ht="15" hidden="1" customHeight="1" x14ac:dyDescent="0.35">
      <c r="A77" s="81" t="s">
        <v>417</v>
      </c>
      <c r="B77" s="80">
        <v>2024</v>
      </c>
      <c r="C77" s="85" t="s">
        <v>379</v>
      </c>
      <c r="D77" s="82" t="s">
        <v>505</v>
      </c>
      <c r="E77" s="80" t="s">
        <v>148</v>
      </c>
      <c r="F77" s="76">
        <v>2028</v>
      </c>
      <c r="G77" s="154" t="s">
        <v>658</v>
      </c>
      <c r="H77" s="124" t="s">
        <v>661</v>
      </c>
      <c r="I77" s="80" t="s">
        <v>152</v>
      </c>
      <c r="J77" s="82" t="s">
        <v>119</v>
      </c>
      <c r="K77" s="80" t="s">
        <v>79</v>
      </c>
      <c r="L77" s="82" t="s">
        <v>655</v>
      </c>
    </row>
    <row r="78" spans="1:12" ht="15" hidden="1" customHeight="1" x14ac:dyDescent="0.35">
      <c r="A78" s="75" t="s">
        <v>419</v>
      </c>
      <c r="B78" s="74">
        <v>2024</v>
      </c>
      <c r="C78" s="85" t="s">
        <v>379</v>
      </c>
      <c r="D78" s="77" t="s">
        <v>505</v>
      </c>
      <c r="E78" s="74" t="s">
        <v>148</v>
      </c>
      <c r="F78" s="76">
        <v>2028</v>
      </c>
      <c r="G78" s="154" t="s">
        <v>658</v>
      </c>
      <c r="H78" s="127" t="s">
        <v>661</v>
      </c>
      <c r="I78" s="74" t="s">
        <v>152</v>
      </c>
      <c r="J78" s="77" t="s">
        <v>119</v>
      </c>
      <c r="K78" s="74" t="s">
        <v>79</v>
      </c>
      <c r="L78" s="77" t="s">
        <v>655</v>
      </c>
    </row>
    <row r="79" spans="1:12" ht="15" hidden="1" customHeight="1" x14ac:dyDescent="0.35">
      <c r="A79" s="75" t="s">
        <v>287</v>
      </c>
      <c r="B79" s="74">
        <v>2024</v>
      </c>
      <c r="C79" s="89" t="s">
        <v>141</v>
      </c>
      <c r="D79" s="77" t="s">
        <v>192</v>
      </c>
      <c r="E79" s="74" t="s">
        <v>148</v>
      </c>
      <c r="F79" s="153">
        <v>2030</v>
      </c>
      <c r="G79" s="154" t="s">
        <v>632</v>
      </c>
      <c r="H79" s="127" t="s">
        <v>663</v>
      </c>
      <c r="I79" s="74" t="s">
        <v>152</v>
      </c>
      <c r="J79" s="77" t="s">
        <v>117</v>
      </c>
      <c r="K79" s="74" t="s">
        <v>67</v>
      </c>
      <c r="L79" s="77" t="s">
        <v>655</v>
      </c>
    </row>
    <row r="80" spans="1:12" ht="15" hidden="1" customHeight="1" x14ac:dyDescent="0.35">
      <c r="A80" s="81" t="s">
        <v>293</v>
      </c>
      <c r="B80" s="80">
        <v>2024</v>
      </c>
      <c r="C80" s="89" t="s">
        <v>141</v>
      </c>
      <c r="D80" s="82" t="s">
        <v>192</v>
      </c>
      <c r="E80" s="80" t="s">
        <v>148</v>
      </c>
      <c r="F80" s="153">
        <v>2030</v>
      </c>
      <c r="G80" s="154" t="s">
        <v>632</v>
      </c>
      <c r="H80" s="124" t="s">
        <v>663</v>
      </c>
      <c r="I80" s="80" t="s">
        <v>152</v>
      </c>
      <c r="J80" s="82" t="s">
        <v>117</v>
      </c>
      <c r="K80" s="80" t="s">
        <v>67</v>
      </c>
      <c r="L80" s="82" t="s">
        <v>655</v>
      </c>
    </row>
    <row r="81" spans="1:12" ht="15" hidden="1" customHeight="1" x14ac:dyDescent="0.35">
      <c r="A81" s="75" t="s">
        <v>299</v>
      </c>
      <c r="B81" s="74">
        <v>2024</v>
      </c>
      <c r="C81" s="89" t="s">
        <v>141</v>
      </c>
      <c r="D81" s="77" t="s">
        <v>192</v>
      </c>
      <c r="E81" s="74" t="s">
        <v>148</v>
      </c>
      <c r="F81" s="153">
        <v>2030</v>
      </c>
      <c r="G81" s="154" t="s">
        <v>632</v>
      </c>
      <c r="H81" s="127" t="s">
        <v>663</v>
      </c>
      <c r="I81" s="74" t="s">
        <v>152</v>
      </c>
      <c r="J81" s="77" t="s">
        <v>117</v>
      </c>
      <c r="K81" s="74" t="s">
        <v>67</v>
      </c>
      <c r="L81" s="77" t="s">
        <v>655</v>
      </c>
    </row>
    <row r="82" spans="1:12" ht="15" hidden="1" customHeight="1" x14ac:dyDescent="0.35">
      <c r="A82" s="75" t="s">
        <v>143</v>
      </c>
      <c r="B82" s="74">
        <v>2017</v>
      </c>
      <c r="C82" s="89" t="s">
        <v>141</v>
      </c>
      <c r="D82" s="77" t="s">
        <v>71</v>
      </c>
      <c r="E82" s="74" t="s">
        <v>148</v>
      </c>
      <c r="F82" s="155" t="s">
        <v>69</v>
      </c>
      <c r="G82" s="154" t="s">
        <v>632</v>
      </c>
      <c r="H82" s="127" t="s">
        <v>13</v>
      </c>
      <c r="I82" s="74" t="s">
        <v>152</v>
      </c>
      <c r="J82" s="77" t="s">
        <v>117</v>
      </c>
      <c r="K82" s="74" t="s">
        <v>147</v>
      </c>
      <c r="L82" s="77" t="s">
        <v>664</v>
      </c>
    </row>
    <row r="83" spans="1:12" ht="15" hidden="1" customHeight="1" x14ac:dyDescent="0.35">
      <c r="A83" s="75" t="s">
        <v>480</v>
      </c>
      <c r="B83" s="74">
        <v>2025</v>
      </c>
      <c r="C83" s="76" t="s">
        <v>277</v>
      </c>
      <c r="D83" s="77" t="s">
        <v>536</v>
      </c>
      <c r="E83" s="74" t="s">
        <v>76</v>
      </c>
      <c r="F83" s="156">
        <v>2036</v>
      </c>
      <c r="G83" s="154" t="s">
        <v>632</v>
      </c>
      <c r="H83" s="127" t="s">
        <v>665</v>
      </c>
      <c r="I83" s="74" t="s">
        <v>152</v>
      </c>
      <c r="J83" s="77" t="s">
        <v>118</v>
      </c>
      <c r="K83" s="74" t="s">
        <v>155</v>
      </c>
      <c r="L83" s="77" t="s">
        <v>655</v>
      </c>
    </row>
    <row r="84" spans="1:12" ht="26.5" hidden="1" customHeight="1" x14ac:dyDescent="0.35">
      <c r="A84" s="81" t="s">
        <v>306</v>
      </c>
      <c r="B84" s="80">
        <v>2025</v>
      </c>
      <c r="C84" s="155" t="s">
        <v>156</v>
      </c>
      <c r="D84" s="82" t="s">
        <v>308</v>
      </c>
      <c r="E84" s="80" t="s">
        <v>148</v>
      </c>
      <c r="F84" s="156">
        <v>2036</v>
      </c>
      <c r="G84" s="154" t="s">
        <v>632</v>
      </c>
      <c r="H84" s="124" t="s">
        <v>666</v>
      </c>
      <c r="I84" s="80" t="s">
        <v>152</v>
      </c>
      <c r="J84" s="82" t="s">
        <v>117</v>
      </c>
      <c r="K84" s="80" t="s">
        <v>309</v>
      </c>
      <c r="L84" s="82" t="s">
        <v>655</v>
      </c>
    </row>
    <row r="85" spans="1:12" ht="15" hidden="1" customHeight="1" x14ac:dyDescent="0.35">
      <c r="A85" s="81" t="s">
        <v>423</v>
      </c>
      <c r="B85" s="80">
        <v>2025</v>
      </c>
      <c r="C85" s="85" t="s">
        <v>379</v>
      </c>
      <c r="D85" s="82" t="s">
        <v>520</v>
      </c>
      <c r="E85" s="80" t="s">
        <v>148</v>
      </c>
      <c r="F85" s="153">
        <v>2029</v>
      </c>
      <c r="G85" s="154" t="s">
        <v>632</v>
      </c>
      <c r="H85" s="124" t="s">
        <v>667</v>
      </c>
      <c r="I85" s="80" t="s">
        <v>152</v>
      </c>
      <c r="J85" s="82" t="s">
        <v>119</v>
      </c>
      <c r="K85" s="80" t="s">
        <v>155</v>
      </c>
      <c r="L85" s="82" t="s">
        <v>655</v>
      </c>
    </row>
    <row r="86" spans="1:12" ht="24.65" hidden="1" customHeight="1" x14ac:dyDescent="0.35">
      <c r="A86" s="81" t="s">
        <v>430</v>
      </c>
      <c r="B86" s="80">
        <v>2025</v>
      </c>
      <c r="C86" s="85" t="s">
        <v>379</v>
      </c>
      <c r="D86" s="82" t="s">
        <v>520</v>
      </c>
      <c r="E86" s="80" t="s">
        <v>148</v>
      </c>
      <c r="F86" s="153">
        <v>2029</v>
      </c>
      <c r="G86" s="154" t="s">
        <v>632</v>
      </c>
      <c r="H86" s="124" t="s">
        <v>667</v>
      </c>
      <c r="I86" s="80" t="s">
        <v>152</v>
      </c>
      <c r="J86" s="82" t="s">
        <v>119</v>
      </c>
      <c r="K86" s="80" t="s">
        <v>155</v>
      </c>
      <c r="L86" s="82" t="s">
        <v>655</v>
      </c>
    </row>
    <row r="87" spans="1:12" ht="15" hidden="1" customHeight="1" x14ac:dyDescent="0.35">
      <c r="A87" s="75" t="s">
        <v>432</v>
      </c>
      <c r="B87" s="74">
        <v>2025</v>
      </c>
      <c r="C87" s="85" t="s">
        <v>379</v>
      </c>
      <c r="D87" s="77" t="s">
        <v>520</v>
      </c>
      <c r="E87" s="74" t="s">
        <v>148</v>
      </c>
      <c r="F87" s="153">
        <v>2029</v>
      </c>
      <c r="G87" s="154" t="s">
        <v>632</v>
      </c>
      <c r="H87" s="127" t="s">
        <v>667</v>
      </c>
      <c r="I87" s="74" t="s">
        <v>152</v>
      </c>
      <c r="J87" s="77" t="s">
        <v>119</v>
      </c>
      <c r="K87" s="74" t="s">
        <v>155</v>
      </c>
      <c r="L87" s="77" t="s">
        <v>655</v>
      </c>
    </row>
    <row r="88" spans="1:12" ht="15" hidden="1" customHeight="1" x14ac:dyDescent="0.35">
      <c r="A88" s="75" t="s">
        <v>427</v>
      </c>
      <c r="B88" s="74">
        <v>2025</v>
      </c>
      <c r="C88" s="85" t="s">
        <v>379</v>
      </c>
      <c r="D88" s="77" t="s">
        <v>505</v>
      </c>
      <c r="E88" s="74" t="s">
        <v>148</v>
      </c>
      <c r="F88" s="153">
        <v>2029</v>
      </c>
      <c r="G88" s="154" t="s">
        <v>632</v>
      </c>
      <c r="H88" s="127" t="s">
        <v>667</v>
      </c>
      <c r="I88" s="74" t="s">
        <v>152</v>
      </c>
      <c r="J88" s="77" t="s">
        <v>119</v>
      </c>
      <c r="K88" s="74" t="s">
        <v>79</v>
      </c>
      <c r="L88" s="77" t="s">
        <v>655</v>
      </c>
    </row>
    <row r="89" spans="1:12" ht="15" hidden="1" customHeight="1" x14ac:dyDescent="0.35">
      <c r="A89" s="81" t="s">
        <v>434</v>
      </c>
      <c r="B89" s="80">
        <v>2025</v>
      </c>
      <c r="C89" s="85" t="s">
        <v>379</v>
      </c>
      <c r="D89" s="82" t="s">
        <v>505</v>
      </c>
      <c r="E89" s="80" t="s">
        <v>148</v>
      </c>
      <c r="F89" s="153">
        <v>2029</v>
      </c>
      <c r="G89" s="154" t="s">
        <v>632</v>
      </c>
      <c r="H89" s="124" t="s">
        <v>667</v>
      </c>
      <c r="I89" s="80" t="s">
        <v>152</v>
      </c>
      <c r="J89" s="82" t="s">
        <v>119</v>
      </c>
      <c r="K89" s="80" t="s">
        <v>79</v>
      </c>
      <c r="L89" s="82" t="s">
        <v>655</v>
      </c>
    </row>
  </sheetData>
  <autoFilter ref="A5:L89" xr:uid="{00000000-0001-0000-0000-000000000000}">
    <filterColumn colId="1">
      <filters>
        <filter val="2017"/>
      </filters>
    </filterColumn>
    <filterColumn colId="6">
      <filters>
        <filter val="Comprar reemplazo"/>
      </filters>
    </filterColumn>
    <sortState xmlns:xlrd2="http://schemas.microsoft.com/office/spreadsheetml/2017/richdata2" ref="A7:L89">
      <sortCondition ref="B6:B89"/>
      <sortCondition ref="D6:D89"/>
    </sortState>
  </autoFilter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CD60-C5DC-41A7-BEDD-C54C09AA0CFD}">
  <sheetPr>
    <tabColor rgb="FFFFFF00"/>
  </sheetPr>
  <dimension ref="A1:F11"/>
  <sheetViews>
    <sheetView tabSelected="1" workbookViewId="0">
      <selection activeCell="H18" sqref="H18"/>
    </sheetView>
  </sheetViews>
  <sheetFormatPr baseColWidth="10" defaultColWidth="8.7265625" defaultRowHeight="14.5" x14ac:dyDescent="0.35"/>
  <cols>
    <col min="1" max="1" width="10" customWidth="1"/>
    <col min="2" max="2" width="14" customWidth="1"/>
    <col min="3" max="3" width="30" customWidth="1"/>
    <col min="4" max="4" width="18" customWidth="1"/>
    <col min="5" max="5" width="15" customWidth="1"/>
    <col min="6" max="6" width="12" customWidth="1"/>
  </cols>
  <sheetData>
    <row r="1" spans="1:6" x14ac:dyDescent="0.35">
      <c r="A1" s="403" t="s">
        <v>125</v>
      </c>
      <c r="B1" s="403" t="s">
        <v>126</v>
      </c>
      <c r="C1" s="403" t="s">
        <v>127</v>
      </c>
      <c r="D1" s="403" t="s">
        <v>737</v>
      </c>
      <c r="E1" s="403" t="s">
        <v>738</v>
      </c>
      <c r="F1" s="403" t="s">
        <v>77</v>
      </c>
    </row>
    <row r="2" spans="1:6" x14ac:dyDescent="0.35">
      <c r="A2" s="404" t="s">
        <v>739</v>
      </c>
      <c r="B2" s="404" t="s">
        <v>740</v>
      </c>
      <c r="C2" s="404" t="s">
        <v>741</v>
      </c>
      <c r="D2" s="404">
        <v>2</v>
      </c>
      <c r="E2" s="404">
        <v>85000</v>
      </c>
      <c r="F2" s="404" t="s">
        <v>742</v>
      </c>
    </row>
    <row r="3" spans="1:6" x14ac:dyDescent="0.35">
      <c r="A3" s="404" t="s">
        <v>743</v>
      </c>
      <c r="B3" s="404" t="s">
        <v>740</v>
      </c>
      <c r="C3" s="404" t="s">
        <v>744</v>
      </c>
      <c r="D3" s="404">
        <v>3</v>
      </c>
      <c r="E3" s="404">
        <v>95000</v>
      </c>
      <c r="F3" s="404" t="s">
        <v>742</v>
      </c>
    </row>
    <row r="4" spans="1:6" x14ac:dyDescent="0.35">
      <c r="A4" s="404" t="s">
        <v>745</v>
      </c>
      <c r="B4" s="404" t="s">
        <v>746</v>
      </c>
      <c r="C4" s="404" t="s">
        <v>747</v>
      </c>
      <c r="D4" s="404">
        <v>1</v>
      </c>
      <c r="E4" s="404">
        <v>120000</v>
      </c>
      <c r="F4" s="404" t="s">
        <v>742</v>
      </c>
    </row>
    <row r="5" spans="1:6" x14ac:dyDescent="0.35">
      <c r="A5" s="404" t="s">
        <v>748</v>
      </c>
      <c r="B5" s="404" t="s">
        <v>740</v>
      </c>
      <c r="C5" s="404" t="s">
        <v>741</v>
      </c>
      <c r="D5" s="404">
        <v>4</v>
      </c>
      <c r="E5" s="404">
        <v>80000</v>
      </c>
      <c r="F5" s="404" t="s">
        <v>742</v>
      </c>
    </row>
    <row r="6" spans="1:6" x14ac:dyDescent="0.35">
      <c r="A6" s="404" t="s">
        <v>749</v>
      </c>
      <c r="B6" s="404" t="s">
        <v>746</v>
      </c>
      <c r="C6" s="404" t="s">
        <v>750</v>
      </c>
      <c r="D6" s="404">
        <v>2</v>
      </c>
      <c r="E6" s="404">
        <v>140000</v>
      </c>
      <c r="F6" s="404" t="s">
        <v>742</v>
      </c>
    </row>
    <row r="7" spans="1:6" x14ac:dyDescent="0.35">
      <c r="A7" s="404" t="s">
        <v>751</v>
      </c>
      <c r="B7" s="404" t="s">
        <v>740</v>
      </c>
      <c r="C7" s="404" t="s">
        <v>752</v>
      </c>
      <c r="D7" s="404">
        <v>5</v>
      </c>
      <c r="E7" s="404">
        <v>75000</v>
      </c>
      <c r="F7" s="404" t="s">
        <v>753</v>
      </c>
    </row>
    <row r="8" spans="1:6" x14ac:dyDescent="0.35">
      <c r="A8" s="404" t="s">
        <v>754</v>
      </c>
      <c r="B8" s="404" t="s">
        <v>746</v>
      </c>
      <c r="C8" s="404" t="s">
        <v>755</v>
      </c>
      <c r="D8" s="404">
        <v>1</v>
      </c>
      <c r="E8" s="404">
        <v>160000</v>
      </c>
      <c r="F8" s="404" t="s">
        <v>742</v>
      </c>
    </row>
    <row r="9" spans="1:6" x14ac:dyDescent="0.35">
      <c r="A9" s="404" t="s">
        <v>756</v>
      </c>
      <c r="B9" s="404" t="s">
        <v>740</v>
      </c>
      <c r="C9" s="404" t="s">
        <v>757</v>
      </c>
      <c r="D9" s="404">
        <v>3</v>
      </c>
      <c r="E9" s="404">
        <v>100000</v>
      </c>
      <c r="F9" s="404" t="s">
        <v>742</v>
      </c>
    </row>
    <row r="10" spans="1:6" x14ac:dyDescent="0.35">
      <c r="A10" s="404" t="s">
        <v>758</v>
      </c>
      <c r="B10" s="404" t="s">
        <v>746</v>
      </c>
      <c r="C10" s="404" t="s">
        <v>759</v>
      </c>
      <c r="D10" s="404">
        <v>2</v>
      </c>
      <c r="E10" s="404">
        <v>200000</v>
      </c>
      <c r="F10" s="404" t="s">
        <v>742</v>
      </c>
    </row>
    <row r="11" spans="1:6" x14ac:dyDescent="0.35">
      <c r="A11" s="404" t="s">
        <v>760</v>
      </c>
      <c r="B11" s="404" t="s">
        <v>740</v>
      </c>
      <c r="C11" s="404" t="s">
        <v>761</v>
      </c>
      <c r="D11" s="404">
        <v>1</v>
      </c>
      <c r="E11" s="404">
        <v>115000</v>
      </c>
      <c r="F11" s="404" t="s">
        <v>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2"/>
  <sheetViews>
    <sheetView showGridLines="0" workbookViewId="0">
      <pane ySplit="5" topLeftCell="A113" activePane="bottomLeft" state="frozen"/>
      <selection pane="bottomLeft" activeCell="G112" sqref="G112"/>
    </sheetView>
  </sheetViews>
  <sheetFormatPr baseColWidth="10" defaultColWidth="8.81640625" defaultRowHeight="14.5" x14ac:dyDescent="0.35"/>
  <cols>
    <col min="1" max="1" width="12" customWidth="1"/>
    <col min="2" max="2" width="9" customWidth="1"/>
    <col min="3" max="3" width="18" customWidth="1"/>
    <col min="4" max="4" width="22" customWidth="1"/>
    <col min="5" max="5" width="18" customWidth="1"/>
    <col min="6" max="6" width="7" customWidth="1"/>
    <col min="7" max="7" width="10" customWidth="1"/>
    <col min="8" max="8" width="12" customWidth="1"/>
    <col min="9" max="10" width="13" customWidth="1"/>
    <col min="11" max="11" width="14" customWidth="1"/>
  </cols>
  <sheetData>
    <row r="1" spans="1:12" ht="32.15" customHeight="1" x14ac:dyDescent="0.35">
      <c r="A1" s="397" t="s">
        <v>668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</row>
    <row r="2" spans="1:12" ht="18" customHeight="1" x14ac:dyDescent="0.35">
      <c r="A2" s="396" t="s">
        <v>669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</row>
    <row r="3" spans="1:12" ht="10" customHeight="1" x14ac:dyDescent="0.35"/>
    <row r="4" spans="1:12" ht="24" customHeight="1" x14ac:dyDescent="0.35">
      <c r="A4" s="400" t="s">
        <v>670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</row>
    <row r="5" spans="1:12" ht="18" customHeight="1" x14ac:dyDescent="0.35">
      <c r="A5" s="171" t="s">
        <v>125</v>
      </c>
      <c r="B5" s="171" t="s">
        <v>317</v>
      </c>
      <c r="C5" s="171" t="s">
        <v>64</v>
      </c>
      <c r="D5" s="171" t="s">
        <v>130</v>
      </c>
      <c r="E5" s="171" t="s">
        <v>671</v>
      </c>
      <c r="F5" s="171" t="s">
        <v>128</v>
      </c>
      <c r="G5" s="171" t="s">
        <v>137</v>
      </c>
      <c r="H5" s="171" t="s">
        <v>138</v>
      </c>
      <c r="I5" s="171" t="s">
        <v>672</v>
      </c>
      <c r="J5" s="171" t="s">
        <v>673</v>
      </c>
      <c r="K5" s="171" t="s">
        <v>134</v>
      </c>
    </row>
    <row r="6" spans="1:12" ht="15" customHeight="1" x14ac:dyDescent="0.35">
      <c r="A6" s="206" t="s">
        <v>158</v>
      </c>
      <c r="B6" s="206" t="s">
        <v>157</v>
      </c>
      <c r="C6" s="206" t="s">
        <v>117</v>
      </c>
      <c r="D6" s="207" t="s">
        <v>509</v>
      </c>
      <c r="E6" s="206" t="s">
        <v>674</v>
      </c>
      <c r="F6" s="206">
        <v>2017</v>
      </c>
      <c r="G6" s="206">
        <v>9</v>
      </c>
      <c r="H6" s="206" t="s">
        <v>69</v>
      </c>
      <c r="I6" s="206" t="s">
        <v>69</v>
      </c>
      <c r="J6" s="208" t="s">
        <v>675</v>
      </c>
      <c r="K6" s="209" t="s">
        <v>77</v>
      </c>
    </row>
    <row r="7" spans="1:12" ht="15" customHeight="1" x14ac:dyDescent="0.35">
      <c r="A7" s="210" t="s">
        <v>164</v>
      </c>
      <c r="B7" s="210" t="s">
        <v>163</v>
      </c>
      <c r="C7" s="210" t="s">
        <v>117</v>
      </c>
      <c r="D7" s="211" t="s">
        <v>509</v>
      </c>
      <c r="E7" s="210" t="s">
        <v>674</v>
      </c>
      <c r="F7" s="210">
        <v>2017</v>
      </c>
      <c r="G7" s="210">
        <v>9</v>
      </c>
      <c r="H7" s="210" t="s">
        <v>69</v>
      </c>
      <c r="I7" s="210" t="s">
        <v>69</v>
      </c>
      <c r="J7" s="208" t="s">
        <v>675</v>
      </c>
      <c r="K7" s="209" t="s">
        <v>77</v>
      </c>
    </row>
    <row r="8" spans="1:12" ht="15" customHeight="1" x14ac:dyDescent="0.35">
      <c r="A8" s="206" t="s">
        <v>168</v>
      </c>
      <c r="B8" s="206" t="s">
        <v>167</v>
      </c>
      <c r="C8" s="206" t="s">
        <v>117</v>
      </c>
      <c r="D8" s="207" t="s">
        <v>509</v>
      </c>
      <c r="E8" s="206" t="s">
        <v>674</v>
      </c>
      <c r="F8" s="206">
        <v>2017</v>
      </c>
      <c r="G8" s="206">
        <v>9</v>
      </c>
      <c r="H8" s="206" t="s">
        <v>69</v>
      </c>
      <c r="I8" s="206" t="s">
        <v>69</v>
      </c>
      <c r="J8" s="208" t="s">
        <v>675</v>
      </c>
      <c r="K8" s="209" t="s">
        <v>77</v>
      </c>
    </row>
    <row r="9" spans="1:12" ht="15" customHeight="1" x14ac:dyDescent="0.35">
      <c r="A9" s="210" t="s">
        <v>171</v>
      </c>
      <c r="B9" s="210" t="s">
        <v>170</v>
      </c>
      <c r="C9" s="210" t="s">
        <v>117</v>
      </c>
      <c r="D9" s="211" t="s">
        <v>509</v>
      </c>
      <c r="E9" s="210" t="s">
        <v>674</v>
      </c>
      <c r="F9" s="210">
        <v>2017</v>
      </c>
      <c r="G9" s="210">
        <v>9</v>
      </c>
      <c r="H9" s="210" t="s">
        <v>69</v>
      </c>
      <c r="I9" s="210" t="s">
        <v>69</v>
      </c>
      <c r="J9" s="208" t="s">
        <v>675</v>
      </c>
      <c r="K9" s="209" t="s">
        <v>77</v>
      </c>
    </row>
    <row r="10" spans="1:12" ht="15" customHeight="1" x14ac:dyDescent="0.35">
      <c r="A10" s="206" t="s">
        <v>173</v>
      </c>
      <c r="B10" s="206" t="s">
        <v>172</v>
      </c>
      <c r="C10" s="206" t="s">
        <v>117</v>
      </c>
      <c r="D10" s="207" t="s">
        <v>509</v>
      </c>
      <c r="E10" s="206" t="s">
        <v>674</v>
      </c>
      <c r="F10" s="206">
        <v>2017</v>
      </c>
      <c r="G10" s="206">
        <v>9</v>
      </c>
      <c r="H10" s="206" t="s">
        <v>69</v>
      </c>
      <c r="I10" s="206" t="s">
        <v>69</v>
      </c>
      <c r="J10" s="208" t="s">
        <v>675</v>
      </c>
      <c r="K10" s="209" t="s">
        <v>77</v>
      </c>
    </row>
    <row r="11" spans="1:12" ht="15" customHeight="1" x14ac:dyDescent="0.35">
      <c r="A11" s="210" t="s">
        <v>176</v>
      </c>
      <c r="B11" s="210" t="s">
        <v>175</v>
      </c>
      <c r="C11" s="210" t="s">
        <v>117</v>
      </c>
      <c r="D11" s="211" t="s">
        <v>509</v>
      </c>
      <c r="E11" s="210" t="s">
        <v>674</v>
      </c>
      <c r="F11" s="210">
        <v>2017</v>
      </c>
      <c r="G11" s="210">
        <v>9</v>
      </c>
      <c r="H11" s="210" t="s">
        <v>69</v>
      </c>
      <c r="I11" s="210" t="s">
        <v>69</v>
      </c>
      <c r="J11" s="208" t="s">
        <v>675</v>
      </c>
      <c r="K11" s="209" t="s">
        <v>77</v>
      </c>
    </row>
    <row r="12" spans="1:12" ht="15" customHeight="1" x14ac:dyDescent="0.35">
      <c r="A12" s="206" t="s">
        <v>372</v>
      </c>
      <c r="B12" s="206" t="s">
        <v>371</v>
      </c>
      <c r="C12" s="206" t="s">
        <v>119</v>
      </c>
      <c r="D12" s="207" t="s">
        <v>525</v>
      </c>
      <c r="E12" s="206" t="s">
        <v>674</v>
      </c>
      <c r="F12" s="206">
        <v>2017</v>
      </c>
      <c r="G12" s="206">
        <v>9</v>
      </c>
      <c r="H12" s="206" t="s">
        <v>69</v>
      </c>
      <c r="I12" s="206" t="s">
        <v>69</v>
      </c>
      <c r="J12" s="208" t="s">
        <v>675</v>
      </c>
      <c r="K12" s="212" t="s">
        <v>76</v>
      </c>
    </row>
    <row r="13" spans="1:12" ht="15" customHeight="1" x14ac:dyDescent="0.35">
      <c r="A13" s="210" t="s">
        <v>454</v>
      </c>
      <c r="B13" s="210" t="s">
        <v>453</v>
      </c>
      <c r="C13" s="210" t="s">
        <v>118</v>
      </c>
      <c r="D13" s="211" t="s">
        <v>525</v>
      </c>
      <c r="E13" s="210" t="s">
        <v>674</v>
      </c>
      <c r="F13" s="210">
        <v>2017</v>
      </c>
      <c r="G13" s="210">
        <v>9</v>
      </c>
      <c r="H13" s="210" t="s">
        <v>69</v>
      </c>
      <c r="I13" s="210" t="s">
        <v>69</v>
      </c>
      <c r="J13" s="208" t="s">
        <v>675</v>
      </c>
      <c r="K13" s="212" t="s">
        <v>76</v>
      </c>
    </row>
    <row r="14" spans="1:12" ht="15" customHeight="1" x14ac:dyDescent="0.35">
      <c r="A14" s="206" t="s">
        <v>458</v>
      </c>
      <c r="B14" s="206" t="s">
        <v>142</v>
      </c>
      <c r="C14" s="206" t="s">
        <v>118</v>
      </c>
      <c r="D14" s="207" t="s">
        <v>525</v>
      </c>
      <c r="E14" s="206" t="s">
        <v>674</v>
      </c>
      <c r="F14" s="206">
        <v>2017</v>
      </c>
      <c r="G14" s="206">
        <v>9</v>
      </c>
      <c r="H14" s="206" t="s">
        <v>69</v>
      </c>
      <c r="I14" s="206" t="s">
        <v>69</v>
      </c>
      <c r="J14" s="208" t="s">
        <v>675</v>
      </c>
      <c r="K14" s="212" t="s">
        <v>76</v>
      </c>
    </row>
    <row r="15" spans="1:12" ht="15" customHeight="1" x14ac:dyDescent="0.35">
      <c r="A15" s="210" t="s">
        <v>181</v>
      </c>
      <c r="B15" s="210" t="s">
        <v>180</v>
      </c>
      <c r="C15" s="210" t="s">
        <v>117</v>
      </c>
      <c r="D15" s="211" t="s">
        <v>509</v>
      </c>
      <c r="E15" s="210" t="s">
        <v>674</v>
      </c>
      <c r="F15" s="210">
        <v>2018</v>
      </c>
      <c r="G15" s="210">
        <v>8</v>
      </c>
      <c r="H15" s="210" t="s">
        <v>69</v>
      </c>
      <c r="I15" s="210" t="s">
        <v>69</v>
      </c>
      <c r="J15" s="208" t="s">
        <v>675</v>
      </c>
      <c r="K15" s="209" t="s">
        <v>77</v>
      </c>
    </row>
    <row r="16" spans="1:12" ht="15" customHeight="1" x14ac:dyDescent="0.35">
      <c r="A16" s="206" t="s">
        <v>195</v>
      </c>
      <c r="B16" s="206" t="s">
        <v>194</v>
      </c>
      <c r="C16" s="206" t="s">
        <v>117</v>
      </c>
      <c r="D16" s="207" t="s">
        <v>509</v>
      </c>
      <c r="E16" s="206" t="s">
        <v>674</v>
      </c>
      <c r="F16" s="206">
        <v>2019</v>
      </c>
      <c r="G16" s="206">
        <v>7</v>
      </c>
      <c r="H16" s="206" t="s">
        <v>69</v>
      </c>
      <c r="I16" s="206" t="s">
        <v>69</v>
      </c>
      <c r="J16" s="208" t="s">
        <v>675</v>
      </c>
      <c r="K16" s="209" t="s">
        <v>77</v>
      </c>
    </row>
    <row r="17" spans="1:11" ht="15" customHeight="1" x14ac:dyDescent="0.35">
      <c r="A17" s="210" t="s">
        <v>198</v>
      </c>
      <c r="B17" s="210" t="s">
        <v>197</v>
      </c>
      <c r="C17" s="210" t="s">
        <v>117</v>
      </c>
      <c r="D17" s="211" t="s">
        <v>509</v>
      </c>
      <c r="E17" s="210" t="s">
        <v>674</v>
      </c>
      <c r="F17" s="210">
        <v>2019</v>
      </c>
      <c r="G17" s="210">
        <v>7</v>
      </c>
      <c r="H17" s="210" t="s">
        <v>69</v>
      </c>
      <c r="I17" s="210" t="s">
        <v>69</v>
      </c>
      <c r="J17" s="208" t="s">
        <v>675</v>
      </c>
      <c r="K17" s="209" t="s">
        <v>77</v>
      </c>
    </row>
    <row r="18" spans="1:11" ht="15" customHeight="1" x14ac:dyDescent="0.35">
      <c r="A18" s="206" t="s">
        <v>212</v>
      </c>
      <c r="B18" s="206" t="s">
        <v>211</v>
      </c>
      <c r="C18" s="206" t="s">
        <v>117</v>
      </c>
      <c r="D18" s="207" t="s">
        <v>509</v>
      </c>
      <c r="E18" s="206" t="s">
        <v>674</v>
      </c>
      <c r="F18" s="206">
        <v>2019</v>
      </c>
      <c r="G18" s="206">
        <v>7</v>
      </c>
      <c r="H18" s="206" t="s">
        <v>69</v>
      </c>
      <c r="I18" s="206" t="s">
        <v>69</v>
      </c>
      <c r="J18" s="208" t="s">
        <v>675</v>
      </c>
      <c r="K18" s="209" t="s">
        <v>77</v>
      </c>
    </row>
    <row r="19" spans="1:11" ht="15" customHeight="1" x14ac:dyDescent="0.35">
      <c r="A19" s="210" t="s">
        <v>227</v>
      </c>
      <c r="B19" s="210" t="s">
        <v>226</v>
      </c>
      <c r="C19" s="210" t="s">
        <v>117</v>
      </c>
      <c r="D19" s="211" t="s">
        <v>509</v>
      </c>
      <c r="E19" s="210" t="s">
        <v>674</v>
      </c>
      <c r="F19" s="210">
        <v>2019</v>
      </c>
      <c r="G19" s="210">
        <v>7</v>
      </c>
      <c r="H19" s="210" t="s">
        <v>69</v>
      </c>
      <c r="I19" s="210" t="s">
        <v>69</v>
      </c>
      <c r="J19" s="208" t="s">
        <v>675</v>
      </c>
      <c r="K19" s="209" t="s">
        <v>77</v>
      </c>
    </row>
    <row r="20" spans="1:11" ht="15" customHeight="1" x14ac:dyDescent="0.35">
      <c r="A20" s="206" t="s">
        <v>235</v>
      </c>
      <c r="B20" s="206" t="s">
        <v>234</v>
      </c>
      <c r="C20" s="206" t="s">
        <v>117</v>
      </c>
      <c r="D20" s="207" t="s">
        <v>509</v>
      </c>
      <c r="E20" s="206" t="s">
        <v>674</v>
      </c>
      <c r="F20" s="206">
        <v>2019</v>
      </c>
      <c r="G20" s="206">
        <v>7</v>
      </c>
      <c r="H20" s="206" t="s">
        <v>69</v>
      </c>
      <c r="I20" s="206" t="s">
        <v>69</v>
      </c>
      <c r="J20" s="208" t="s">
        <v>675</v>
      </c>
      <c r="K20" s="209" t="s">
        <v>77</v>
      </c>
    </row>
    <row r="21" spans="1:11" ht="15" customHeight="1" x14ac:dyDescent="0.35">
      <c r="A21" s="210" t="s">
        <v>384</v>
      </c>
      <c r="B21" s="210" t="s">
        <v>383</v>
      </c>
      <c r="C21" s="210" t="s">
        <v>119</v>
      </c>
      <c r="D21" s="211" t="s">
        <v>530</v>
      </c>
      <c r="E21" s="210" t="s">
        <v>674</v>
      </c>
      <c r="F21" s="210">
        <v>2022</v>
      </c>
      <c r="G21" s="210">
        <v>4</v>
      </c>
      <c r="H21" s="210" t="s">
        <v>69</v>
      </c>
      <c r="I21" s="210" t="s">
        <v>69</v>
      </c>
      <c r="J21" s="208" t="s">
        <v>675</v>
      </c>
      <c r="K21" s="213" t="s">
        <v>82</v>
      </c>
    </row>
    <row r="22" spans="1:11" ht="15" customHeight="1" x14ac:dyDescent="0.35">
      <c r="A22" s="206" t="s">
        <v>387</v>
      </c>
      <c r="B22" s="206" t="s">
        <v>386</v>
      </c>
      <c r="C22" s="206" t="s">
        <v>119</v>
      </c>
      <c r="D22" s="207" t="s">
        <v>530</v>
      </c>
      <c r="E22" s="206" t="s">
        <v>674</v>
      </c>
      <c r="F22" s="206">
        <v>2022</v>
      </c>
      <c r="G22" s="206">
        <v>4</v>
      </c>
      <c r="H22" s="206" t="s">
        <v>69</v>
      </c>
      <c r="I22" s="206" t="s">
        <v>69</v>
      </c>
      <c r="J22" s="208" t="s">
        <v>675</v>
      </c>
      <c r="K22" s="213" t="s">
        <v>82</v>
      </c>
    </row>
    <row r="23" spans="1:11" ht="15" customHeight="1" x14ac:dyDescent="0.35">
      <c r="A23" s="210" t="s">
        <v>303</v>
      </c>
      <c r="B23" s="210" t="s">
        <v>142</v>
      </c>
      <c r="C23" s="210" t="s">
        <v>117</v>
      </c>
      <c r="D23" s="211" t="s">
        <v>509</v>
      </c>
      <c r="E23" s="210" t="s">
        <v>674</v>
      </c>
      <c r="F23" s="210">
        <v>2023</v>
      </c>
      <c r="G23" s="210">
        <v>3</v>
      </c>
      <c r="H23" s="210" t="s">
        <v>69</v>
      </c>
      <c r="I23" s="210" t="s">
        <v>69</v>
      </c>
      <c r="J23" s="208" t="s">
        <v>675</v>
      </c>
      <c r="K23" s="209" t="s">
        <v>77</v>
      </c>
    </row>
    <row r="24" spans="1:11" ht="15" customHeight="1" x14ac:dyDescent="0.35">
      <c r="A24" s="206" t="s">
        <v>188</v>
      </c>
      <c r="B24" s="206" t="s">
        <v>187</v>
      </c>
      <c r="C24" s="206" t="s">
        <v>117</v>
      </c>
      <c r="D24" s="207" t="s">
        <v>537</v>
      </c>
      <c r="E24" s="206" t="s">
        <v>379</v>
      </c>
      <c r="F24" s="206">
        <v>2019</v>
      </c>
      <c r="G24" s="206">
        <v>7</v>
      </c>
      <c r="H24" s="206">
        <v>3</v>
      </c>
      <c r="I24" s="206">
        <v>-4</v>
      </c>
      <c r="J24" s="213" t="s">
        <v>676</v>
      </c>
      <c r="K24" s="214" t="s">
        <v>148</v>
      </c>
    </row>
    <row r="25" spans="1:11" ht="15" customHeight="1" x14ac:dyDescent="0.35">
      <c r="A25" s="210" t="s">
        <v>376</v>
      </c>
      <c r="B25" s="210" t="s">
        <v>375</v>
      </c>
      <c r="C25" s="210" t="s">
        <v>119</v>
      </c>
      <c r="D25" s="211" t="s">
        <v>534</v>
      </c>
      <c r="E25" s="210" t="s">
        <v>379</v>
      </c>
      <c r="F25" s="210">
        <v>2019</v>
      </c>
      <c r="G25" s="210">
        <v>7</v>
      </c>
      <c r="H25" s="210">
        <v>3</v>
      </c>
      <c r="I25" s="210">
        <v>-4</v>
      </c>
      <c r="J25" s="213" t="s">
        <v>676</v>
      </c>
      <c r="K25" s="212" t="s">
        <v>76</v>
      </c>
    </row>
    <row r="26" spans="1:11" ht="15" customHeight="1" x14ac:dyDescent="0.35">
      <c r="A26" s="206" t="s">
        <v>378</v>
      </c>
      <c r="B26" s="206" t="s">
        <v>377</v>
      </c>
      <c r="C26" s="206" t="s">
        <v>119</v>
      </c>
      <c r="D26" s="207" t="s">
        <v>505</v>
      </c>
      <c r="E26" s="206" t="s">
        <v>379</v>
      </c>
      <c r="F26" s="206">
        <v>2019</v>
      </c>
      <c r="G26" s="206">
        <v>7</v>
      </c>
      <c r="H26" s="206">
        <v>3</v>
      </c>
      <c r="I26" s="206">
        <v>-4</v>
      </c>
      <c r="J26" s="213" t="s">
        <v>676</v>
      </c>
      <c r="K26" s="214" t="s">
        <v>148</v>
      </c>
    </row>
    <row r="27" spans="1:11" ht="15" customHeight="1" x14ac:dyDescent="0.35">
      <c r="A27" s="210" t="s">
        <v>381</v>
      </c>
      <c r="B27" s="210" t="s">
        <v>380</v>
      </c>
      <c r="C27" s="210" t="s">
        <v>119</v>
      </c>
      <c r="D27" s="211" t="s">
        <v>549</v>
      </c>
      <c r="E27" s="210" t="s">
        <v>379</v>
      </c>
      <c r="F27" s="210">
        <v>2019</v>
      </c>
      <c r="G27" s="210">
        <v>7</v>
      </c>
      <c r="H27" s="210">
        <v>3</v>
      </c>
      <c r="I27" s="210">
        <v>-4</v>
      </c>
      <c r="J27" s="213" t="s">
        <v>676</v>
      </c>
      <c r="K27" s="214" t="s">
        <v>148</v>
      </c>
    </row>
    <row r="28" spans="1:11" ht="15" customHeight="1" x14ac:dyDescent="0.35">
      <c r="A28" s="206" t="s">
        <v>467</v>
      </c>
      <c r="B28" s="206" t="s">
        <v>466</v>
      </c>
      <c r="C28" s="206" t="s">
        <v>118</v>
      </c>
      <c r="D28" s="207" t="s">
        <v>541</v>
      </c>
      <c r="E28" s="206" t="s">
        <v>379</v>
      </c>
      <c r="F28" s="206">
        <v>2019</v>
      </c>
      <c r="G28" s="206">
        <v>7</v>
      </c>
      <c r="H28" s="206">
        <v>3</v>
      </c>
      <c r="I28" s="206">
        <v>-4</v>
      </c>
      <c r="J28" s="213" t="s">
        <v>676</v>
      </c>
      <c r="K28" s="214" t="s">
        <v>148</v>
      </c>
    </row>
    <row r="29" spans="1:11" ht="15" customHeight="1" x14ac:dyDescent="0.35">
      <c r="A29" s="210" t="s">
        <v>471</v>
      </c>
      <c r="B29" s="210" t="s">
        <v>470</v>
      </c>
      <c r="C29" s="210" t="s">
        <v>118</v>
      </c>
      <c r="D29" s="211" t="s">
        <v>523</v>
      </c>
      <c r="E29" s="210" t="s">
        <v>379</v>
      </c>
      <c r="F29" s="210">
        <v>2019</v>
      </c>
      <c r="G29" s="210">
        <v>7</v>
      </c>
      <c r="H29" s="210">
        <v>3</v>
      </c>
      <c r="I29" s="210">
        <v>-4</v>
      </c>
      <c r="J29" s="213" t="s">
        <v>676</v>
      </c>
      <c r="K29" s="214" t="s">
        <v>148</v>
      </c>
    </row>
    <row r="30" spans="1:11" ht="15" customHeight="1" x14ac:dyDescent="0.35">
      <c r="A30" s="206" t="s">
        <v>389</v>
      </c>
      <c r="B30" s="206" t="s">
        <v>388</v>
      </c>
      <c r="C30" s="206" t="s">
        <v>119</v>
      </c>
      <c r="D30" s="207" t="s">
        <v>390</v>
      </c>
      <c r="E30" s="206" t="s">
        <v>379</v>
      </c>
      <c r="F30" s="206">
        <v>2022</v>
      </c>
      <c r="G30" s="206">
        <v>4</v>
      </c>
      <c r="H30" s="206">
        <v>3</v>
      </c>
      <c r="I30" s="206">
        <v>-1</v>
      </c>
      <c r="J30" s="213" t="s">
        <v>676</v>
      </c>
      <c r="K30" s="214" t="s">
        <v>148</v>
      </c>
    </row>
    <row r="31" spans="1:11" ht="15" customHeight="1" x14ac:dyDescent="0.35">
      <c r="A31" s="210" t="s">
        <v>392</v>
      </c>
      <c r="B31" s="210" t="s">
        <v>391</v>
      </c>
      <c r="C31" s="210" t="s">
        <v>119</v>
      </c>
      <c r="D31" s="211" t="s">
        <v>505</v>
      </c>
      <c r="E31" s="210" t="s">
        <v>379</v>
      </c>
      <c r="F31" s="210">
        <v>2022</v>
      </c>
      <c r="G31" s="210">
        <v>4</v>
      </c>
      <c r="H31" s="210">
        <v>3</v>
      </c>
      <c r="I31" s="210">
        <v>-1</v>
      </c>
      <c r="J31" s="213" t="s">
        <v>676</v>
      </c>
      <c r="K31" s="214" t="s">
        <v>148</v>
      </c>
    </row>
    <row r="32" spans="1:11" ht="15" customHeight="1" x14ac:dyDescent="0.35">
      <c r="A32" s="206" t="s">
        <v>395</v>
      </c>
      <c r="B32" s="206" t="s">
        <v>394</v>
      </c>
      <c r="C32" s="206" t="s">
        <v>119</v>
      </c>
      <c r="D32" s="207" t="s">
        <v>505</v>
      </c>
      <c r="E32" s="206" t="s">
        <v>379</v>
      </c>
      <c r="F32" s="206">
        <v>2022</v>
      </c>
      <c r="G32" s="206">
        <v>4</v>
      </c>
      <c r="H32" s="206">
        <v>3</v>
      </c>
      <c r="I32" s="206">
        <v>-1</v>
      </c>
      <c r="J32" s="213" t="s">
        <v>676</v>
      </c>
      <c r="K32" s="214" t="s">
        <v>148</v>
      </c>
    </row>
    <row r="33" spans="1:11" ht="15" customHeight="1" x14ac:dyDescent="0.35">
      <c r="A33" s="210" t="s">
        <v>397</v>
      </c>
      <c r="B33" s="210" t="s">
        <v>396</v>
      </c>
      <c r="C33" s="210" t="s">
        <v>119</v>
      </c>
      <c r="D33" s="211" t="s">
        <v>538</v>
      </c>
      <c r="E33" s="210" t="s">
        <v>379</v>
      </c>
      <c r="F33" s="210">
        <v>2022</v>
      </c>
      <c r="G33" s="210">
        <v>4</v>
      </c>
      <c r="H33" s="210">
        <v>3</v>
      </c>
      <c r="I33" s="210">
        <v>-1</v>
      </c>
      <c r="J33" s="213" t="s">
        <v>676</v>
      </c>
      <c r="K33" s="212" t="s">
        <v>76</v>
      </c>
    </row>
    <row r="34" spans="1:11" ht="15" customHeight="1" x14ac:dyDescent="0.35">
      <c r="A34" s="206" t="s">
        <v>400</v>
      </c>
      <c r="B34" s="206" t="s">
        <v>399</v>
      </c>
      <c r="C34" s="206" t="s">
        <v>119</v>
      </c>
      <c r="D34" s="207" t="s">
        <v>505</v>
      </c>
      <c r="E34" s="206" t="s">
        <v>379</v>
      </c>
      <c r="F34" s="206">
        <v>2022</v>
      </c>
      <c r="G34" s="206">
        <v>4</v>
      </c>
      <c r="H34" s="206">
        <v>3</v>
      </c>
      <c r="I34" s="206">
        <v>-1</v>
      </c>
      <c r="J34" s="213" t="s">
        <v>676</v>
      </c>
      <c r="K34" s="214" t="s">
        <v>148</v>
      </c>
    </row>
    <row r="35" spans="1:11" ht="15" customHeight="1" x14ac:dyDescent="0.35">
      <c r="A35" s="210" t="s">
        <v>275</v>
      </c>
      <c r="B35" s="210" t="s">
        <v>274</v>
      </c>
      <c r="C35" s="210" t="s">
        <v>117</v>
      </c>
      <c r="D35" s="211" t="s">
        <v>546</v>
      </c>
      <c r="E35" s="210" t="s">
        <v>379</v>
      </c>
      <c r="F35" s="210">
        <v>2023</v>
      </c>
      <c r="G35" s="210">
        <v>3</v>
      </c>
      <c r="H35" s="210">
        <v>3</v>
      </c>
      <c r="I35" s="210">
        <v>0</v>
      </c>
      <c r="J35" s="213" t="s">
        <v>676</v>
      </c>
      <c r="K35" s="214" t="s">
        <v>148</v>
      </c>
    </row>
    <row r="36" spans="1:11" ht="15" customHeight="1" x14ac:dyDescent="0.35">
      <c r="A36" s="206" t="s">
        <v>403</v>
      </c>
      <c r="B36" s="206" t="s">
        <v>402</v>
      </c>
      <c r="C36" s="206" t="s">
        <v>119</v>
      </c>
      <c r="D36" s="207" t="s">
        <v>505</v>
      </c>
      <c r="E36" s="206" t="s">
        <v>379</v>
      </c>
      <c r="F36" s="206">
        <v>2023</v>
      </c>
      <c r="G36" s="206">
        <v>3</v>
      </c>
      <c r="H36" s="206">
        <v>3</v>
      </c>
      <c r="I36" s="206">
        <v>0</v>
      </c>
      <c r="J36" s="213" t="s">
        <v>676</v>
      </c>
      <c r="K36" s="214" t="s">
        <v>148</v>
      </c>
    </row>
    <row r="37" spans="1:11" ht="15" customHeight="1" x14ac:dyDescent="0.35">
      <c r="A37" s="210" t="s">
        <v>406</v>
      </c>
      <c r="B37" s="210" t="s">
        <v>405</v>
      </c>
      <c r="C37" s="210" t="s">
        <v>119</v>
      </c>
      <c r="D37" s="211" t="s">
        <v>505</v>
      </c>
      <c r="E37" s="210" t="s">
        <v>379</v>
      </c>
      <c r="F37" s="210">
        <v>2023</v>
      </c>
      <c r="G37" s="210">
        <v>3</v>
      </c>
      <c r="H37" s="210">
        <v>3</v>
      </c>
      <c r="I37" s="210">
        <v>0</v>
      </c>
      <c r="J37" s="213" t="s">
        <v>676</v>
      </c>
      <c r="K37" s="214" t="s">
        <v>148</v>
      </c>
    </row>
    <row r="38" spans="1:11" ht="15" customHeight="1" x14ac:dyDescent="0.35">
      <c r="A38" s="206" t="s">
        <v>473</v>
      </c>
      <c r="B38" s="206" t="s">
        <v>142</v>
      </c>
      <c r="C38" s="206" t="s">
        <v>118</v>
      </c>
      <c r="D38" s="207" t="s">
        <v>523</v>
      </c>
      <c r="E38" s="206" t="s">
        <v>379</v>
      </c>
      <c r="F38" s="206">
        <v>2023</v>
      </c>
      <c r="G38" s="206">
        <v>3</v>
      </c>
      <c r="H38" s="206">
        <v>3</v>
      </c>
      <c r="I38" s="206">
        <v>0</v>
      </c>
      <c r="J38" s="213" t="s">
        <v>676</v>
      </c>
      <c r="K38" s="214" t="s">
        <v>148</v>
      </c>
    </row>
    <row r="39" spans="1:11" ht="15" customHeight="1" x14ac:dyDescent="0.35">
      <c r="A39" s="210" t="s">
        <v>475</v>
      </c>
      <c r="B39" s="210" t="s">
        <v>142</v>
      </c>
      <c r="C39" s="210" t="s">
        <v>118</v>
      </c>
      <c r="D39" s="211" t="s">
        <v>523</v>
      </c>
      <c r="E39" s="210" t="s">
        <v>379</v>
      </c>
      <c r="F39" s="210">
        <v>2023</v>
      </c>
      <c r="G39" s="210">
        <v>3</v>
      </c>
      <c r="H39" s="210">
        <v>3</v>
      </c>
      <c r="I39" s="210">
        <v>0</v>
      </c>
      <c r="J39" s="213" t="s">
        <v>676</v>
      </c>
      <c r="K39" s="214" t="s">
        <v>148</v>
      </c>
    </row>
    <row r="40" spans="1:11" ht="15" customHeight="1" x14ac:dyDescent="0.35">
      <c r="A40" s="206" t="s">
        <v>290</v>
      </c>
      <c r="B40" s="206" t="s">
        <v>289</v>
      </c>
      <c r="C40" s="206" t="s">
        <v>117</v>
      </c>
      <c r="D40" s="207" t="s">
        <v>540</v>
      </c>
      <c r="E40" s="206" t="s">
        <v>379</v>
      </c>
      <c r="F40" s="206">
        <v>2024</v>
      </c>
      <c r="G40" s="206">
        <v>2</v>
      </c>
      <c r="H40" s="206">
        <v>3</v>
      </c>
      <c r="I40" s="206">
        <v>1</v>
      </c>
      <c r="J40" s="215" t="s">
        <v>677</v>
      </c>
      <c r="K40" s="214" t="s">
        <v>148</v>
      </c>
    </row>
    <row r="41" spans="1:11" ht="15" customHeight="1" x14ac:dyDescent="0.35">
      <c r="A41" s="210" t="s">
        <v>408</v>
      </c>
      <c r="B41" s="210" t="s">
        <v>407</v>
      </c>
      <c r="C41" s="210" t="s">
        <v>119</v>
      </c>
      <c r="D41" s="211" t="s">
        <v>505</v>
      </c>
      <c r="E41" s="210" t="s">
        <v>379</v>
      </c>
      <c r="F41" s="210">
        <v>2024</v>
      </c>
      <c r="G41" s="210">
        <v>2</v>
      </c>
      <c r="H41" s="210">
        <v>3</v>
      </c>
      <c r="I41" s="210">
        <v>1</v>
      </c>
      <c r="J41" s="215" t="s">
        <v>677</v>
      </c>
      <c r="K41" s="214" t="s">
        <v>148</v>
      </c>
    </row>
    <row r="42" spans="1:11" ht="15" customHeight="1" x14ac:dyDescent="0.35">
      <c r="A42" s="206" t="s">
        <v>411</v>
      </c>
      <c r="B42" s="206" t="s">
        <v>410</v>
      </c>
      <c r="C42" s="206" t="s">
        <v>119</v>
      </c>
      <c r="D42" s="207" t="s">
        <v>505</v>
      </c>
      <c r="E42" s="206" t="s">
        <v>379</v>
      </c>
      <c r="F42" s="206">
        <v>2024</v>
      </c>
      <c r="G42" s="206">
        <v>2</v>
      </c>
      <c r="H42" s="206">
        <v>3</v>
      </c>
      <c r="I42" s="206">
        <v>1</v>
      </c>
      <c r="J42" s="215" t="s">
        <v>677</v>
      </c>
      <c r="K42" s="214" t="s">
        <v>148</v>
      </c>
    </row>
    <row r="43" spans="1:11" ht="15" customHeight="1" x14ac:dyDescent="0.35">
      <c r="A43" s="210" t="s">
        <v>414</v>
      </c>
      <c r="B43" s="210" t="s">
        <v>413</v>
      </c>
      <c r="C43" s="210" t="s">
        <v>119</v>
      </c>
      <c r="D43" s="211" t="s">
        <v>505</v>
      </c>
      <c r="E43" s="210" t="s">
        <v>379</v>
      </c>
      <c r="F43" s="210">
        <v>2024</v>
      </c>
      <c r="G43" s="210">
        <v>2</v>
      </c>
      <c r="H43" s="210">
        <v>3</v>
      </c>
      <c r="I43" s="210">
        <v>1</v>
      </c>
      <c r="J43" s="215" t="s">
        <v>677</v>
      </c>
      <c r="K43" s="214" t="s">
        <v>148</v>
      </c>
    </row>
    <row r="44" spans="1:11" ht="15" customHeight="1" x14ac:dyDescent="0.35">
      <c r="A44" s="206" t="s">
        <v>417</v>
      </c>
      <c r="B44" s="206" t="s">
        <v>416</v>
      </c>
      <c r="C44" s="206" t="s">
        <v>119</v>
      </c>
      <c r="D44" s="207" t="s">
        <v>505</v>
      </c>
      <c r="E44" s="206" t="s">
        <v>379</v>
      </c>
      <c r="F44" s="206">
        <v>2024</v>
      </c>
      <c r="G44" s="206">
        <v>2</v>
      </c>
      <c r="H44" s="206">
        <v>3</v>
      </c>
      <c r="I44" s="206">
        <v>1</v>
      </c>
      <c r="J44" s="215" t="s">
        <v>677</v>
      </c>
      <c r="K44" s="214" t="s">
        <v>148</v>
      </c>
    </row>
    <row r="45" spans="1:11" ht="15" customHeight="1" x14ac:dyDescent="0.35">
      <c r="A45" s="210" t="s">
        <v>419</v>
      </c>
      <c r="B45" s="210" t="s">
        <v>418</v>
      </c>
      <c r="C45" s="210" t="s">
        <v>119</v>
      </c>
      <c r="D45" s="211" t="s">
        <v>505</v>
      </c>
      <c r="E45" s="210" t="s">
        <v>379</v>
      </c>
      <c r="F45" s="210">
        <v>2024</v>
      </c>
      <c r="G45" s="210">
        <v>2</v>
      </c>
      <c r="H45" s="210">
        <v>3</v>
      </c>
      <c r="I45" s="210">
        <v>1</v>
      </c>
      <c r="J45" s="215" t="s">
        <v>677</v>
      </c>
      <c r="K45" s="214" t="s">
        <v>148</v>
      </c>
    </row>
    <row r="46" spans="1:11" ht="15" customHeight="1" x14ac:dyDescent="0.35">
      <c r="A46" s="206" t="s">
        <v>421</v>
      </c>
      <c r="B46" s="206" t="s">
        <v>420</v>
      </c>
      <c r="C46" s="206" t="s">
        <v>119</v>
      </c>
      <c r="D46" s="207" t="s">
        <v>533</v>
      </c>
      <c r="E46" s="206" t="s">
        <v>379</v>
      </c>
      <c r="F46" s="206">
        <v>2024</v>
      </c>
      <c r="G46" s="206">
        <v>2</v>
      </c>
      <c r="H46" s="206">
        <v>3</v>
      </c>
      <c r="I46" s="206">
        <v>1</v>
      </c>
      <c r="J46" s="215" t="s">
        <v>677</v>
      </c>
      <c r="K46" s="212" t="s">
        <v>76</v>
      </c>
    </row>
    <row r="47" spans="1:11" ht="15" customHeight="1" x14ac:dyDescent="0.35">
      <c r="A47" s="210" t="s">
        <v>477</v>
      </c>
      <c r="B47" s="210" t="s">
        <v>476</v>
      </c>
      <c r="C47" s="210" t="s">
        <v>118</v>
      </c>
      <c r="D47" s="211" t="s">
        <v>544</v>
      </c>
      <c r="E47" s="210" t="s">
        <v>379</v>
      </c>
      <c r="F47" s="210">
        <v>2024</v>
      </c>
      <c r="G47" s="210">
        <v>2</v>
      </c>
      <c r="H47" s="210">
        <v>3</v>
      </c>
      <c r="I47" s="210">
        <v>1</v>
      </c>
      <c r="J47" s="215" t="s">
        <v>677</v>
      </c>
      <c r="K47" s="214" t="s">
        <v>148</v>
      </c>
    </row>
    <row r="48" spans="1:11" ht="15" customHeight="1" x14ac:dyDescent="0.35">
      <c r="A48" s="206" t="s">
        <v>306</v>
      </c>
      <c r="B48" s="206" t="s">
        <v>305</v>
      </c>
      <c r="C48" s="206" t="s">
        <v>117</v>
      </c>
      <c r="D48" s="207" t="s">
        <v>308</v>
      </c>
      <c r="E48" s="206" t="s">
        <v>379</v>
      </c>
      <c r="F48" s="206">
        <v>2025</v>
      </c>
      <c r="G48" s="206">
        <v>1</v>
      </c>
      <c r="H48" s="206">
        <v>3</v>
      </c>
      <c r="I48" s="206">
        <v>2</v>
      </c>
      <c r="J48" s="212" t="s">
        <v>678</v>
      </c>
      <c r="K48" s="214" t="s">
        <v>148</v>
      </c>
    </row>
    <row r="49" spans="1:11" ht="15" customHeight="1" x14ac:dyDescent="0.35">
      <c r="A49" s="210" t="s">
        <v>423</v>
      </c>
      <c r="B49" s="210" t="s">
        <v>422</v>
      </c>
      <c r="C49" s="210" t="s">
        <v>119</v>
      </c>
      <c r="D49" s="211" t="s">
        <v>520</v>
      </c>
      <c r="E49" s="210" t="s">
        <v>379</v>
      </c>
      <c r="F49" s="210">
        <v>2025</v>
      </c>
      <c r="G49" s="210">
        <v>1</v>
      </c>
      <c r="H49" s="210">
        <v>3</v>
      </c>
      <c r="I49" s="210">
        <v>2</v>
      </c>
      <c r="J49" s="212" t="s">
        <v>678</v>
      </c>
      <c r="K49" s="214" t="s">
        <v>148</v>
      </c>
    </row>
    <row r="50" spans="1:11" ht="15" customHeight="1" x14ac:dyDescent="0.35">
      <c r="A50" s="206" t="s">
        <v>427</v>
      </c>
      <c r="B50" s="206" t="s">
        <v>426</v>
      </c>
      <c r="C50" s="206" t="s">
        <v>119</v>
      </c>
      <c r="D50" s="207" t="s">
        <v>505</v>
      </c>
      <c r="E50" s="206" t="s">
        <v>379</v>
      </c>
      <c r="F50" s="206">
        <v>2025</v>
      </c>
      <c r="G50" s="206">
        <v>1</v>
      </c>
      <c r="H50" s="206">
        <v>3</v>
      </c>
      <c r="I50" s="206">
        <v>2</v>
      </c>
      <c r="J50" s="212" t="s">
        <v>678</v>
      </c>
      <c r="K50" s="214" t="s">
        <v>148</v>
      </c>
    </row>
    <row r="51" spans="1:11" ht="15" customHeight="1" x14ac:dyDescent="0.35">
      <c r="A51" s="210" t="s">
        <v>430</v>
      </c>
      <c r="B51" s="210" t="s">
        <v>429</v>
      </c>
      <c r="C51" s="210" t="s">
        <v>119</v>
      </c>
      <c r="D51" s="211" t="s">
        <v>520</v>
      </c>
      <c r="E51" s="210" t="s">
        <v>379</v>
      </c>
      <c r="F51" s="210">
        <v>2025</v>
      </c>
      <c r="G51" s="210">
        <v>1</v>
      </c>
      <c r="H51" s="210">
        <v>3</v>
      </c>
      <c r="I51" s="210">
        <v>2</v>
      </c>
      <c r="J51" s="212" t="s">
        <v>678</v>
      </c>
      <c r="K51" s="214" t="s">
        <v>148</v>
      </c>
    </row>
    <row r="52" spans="1:11" ht="15" customHeight="1" x14ac:dyDescent="0.35">
      <c r="A52" s="206" t="s">
        <v>432</v>
      </c>
      <c r="B52" s="206" t="s">
        <v>431</v>
      </c>
      <c r="C52" s="206" t="s">
        <v>119</v>
      </c>
      <c r="D52" s="207" t="s">
        <v>520</v>
      </c>
      <c r="E52" s="206" t="s">
        <v>379</v>
      </c>
      <c r="F52" s="206">
        <v>2025</v>
      </c>
      <c r="G52" s="206">
        <v>1</v>
      </c>
      <c r="H52" s="206">
        <v>3</v>
      </c>
      <c r="I52" s="206">
        <v>2</v>
      </c>
      <c r="J52" s="212" t="s">
        <v>678</v>
      </c>
      <c r="K52" s="214" t="s">
        <v>148</v>
      </c>
    </row>
    <row r="53" spans="1:11" ht="15" customHeight="1" x14ac:dyDescent="0.35">
      <c r="A53" s="210" t="s">
        <v>434</v>
      </c>
      <c r="B53" s="210" t="s">
        <v>433</v>
      </c>
      <c r="C53" s="210" t="s">
        <v>119</v>
      </c>
      <c r="D53" s="211" t="s">
        <v>505</v>
      </c>
      <c r="E53" s="210" t="s">
        <v>379</v>
      </c>
      <c r="F53" s="210">
        <v>2025</v>
      </c>
      <c r="G53" s="210">
        <v>1</v>
      </c>
      <c r="H53" s="210">
        <v>3</v>
      </c>
      <c r="I53" s="210">
        <v>2</v>
      </c>
      <c r="J53" s="212" t="s">
        <v>678</v>
      </c>
      <c r="K53" s="214" t="s">
        <v>148</v>
      </c>
    </row>
    <row r="54" spans="1:11" ht="15" customHeight="1" x14ac:dyDescent="0.35">
      <c r="A54" s="206" t="s">
        <v>480</v>
      </c>
      <c r="B54" s="206" t="s">
        <v>479</v>
      </c>
      <c r="C54" s="206" t="s">
        <v>118</v>
      </c>
      <c r="D54" s="207" t="s">
        <v>536</v>
      </c>
      <c r="E54" s="206" t="s">
        <v>379</v>
      </c>
      <c r="F54" s="206">
        <v>2025</v>
      </c>
      <c r="G54" s="206">
        <v>1</v>
      </c>
      <c r="H54" s="206">
        <v>3</v>
      </c>
      <c r="I54" s="206">
        <v>2</v>
      </c>
      <c r="J54" s="212" t="s">
        <v>678</v>
      </c>
      <c r="K54" s="212" t="s">
        <v>76</v>
      </c>
    </row>
    <row r="55" spans="1:11" ht="15" customHeight="1" x14ac:dyDescent="0.35">
      <c r="A55" s="210" t="s">
        <v>143</v>
      </c>
      <c r="B55" s="210" t="s">
        <v>142</v>
      </c>
      <c r="C55" s="210" t="s">
        <v>117</v>
      </c>
      <c r="D55" s="211" t="s">
        <v>71</v>
      </c>
      <c r="E55" s="210" t="s">
        <v>141</v>
      </c>
      <c r="F55" s="210">
        <v>2017</v>
      </c>
      <c r="G55" s="210">
        <v>9</v>
      </c>
      <c r="H55" s="210">
        <v>8</v>
      </c>
      <c r="I55" s="210">
        <v>-1</v>
      </c>
      <c r="J55" s="213" t="s">
        <v>676</v>
      </c>
      <c r="K55" s="214" t="s">
        <v>148</v>
      </c>
    </row>
    <row r="56" spans="1:11" ht="15" customHeight="1" x14ac:dyDescent="0.35">
      <c r="A56" s="206" t="s">
        <v>151</v>
      </c>
      <c r="B56" s="206" t="s">
        <v>150</v>
      </c>
      <c r="C56" s="206" t="s">
        <v>117</v>
      </c>
      <c r="D56" s="207" t="s">
        <v>545</v>
      </c>
      <c r="E56" s="206" t="s">
        <v>141</v>
      </c>
      <c r="F56" s="206">
        <v>2017</v>
      </c>
      <c r="G56" s="206">
        <v>9</v>
      </c>
      <c r="H56" s="206">
        <v>8</v>
      </c>
      <c r="I56" s="206">
        <v>-1</v>
      </c>
      <c r="J56" s="213" t="s">
        <v>676</v>
      </c>
      <c r="K56" s="214" t="s">
        <v>148</v>
      </c>
    </row>
    <row r="57" spans="1:11" ht="15" customHeight="1" x14ac:dyDescent="0.35">
      <c r="A57" s="210" t="s">
        <v>460</v>
      </c>
      <c r="B57" s="210" t="s">
        <v>459</v>
      </c>
      <c r="C57" s="210" t="s">
        <v>118</v>
      </c>
      <c r="D57" s="211" t="s">
        <v>120</v>
      </c>
      <c r="E57" s="210" t="s">
        <v>141</v>
      </c>
      <c r="F57" s="210">
        <v>2017</v>
      </c>
      <c r="G57" s="210">
        <v>9</v>
      </c>
      <c r="H57" s="210">
        <v>8</v>
      </c>
      <c r="I57" s="210">
        <v>-1</v>
      </c>
      <c r="J57" s="213" t="s">
        <v>676</v>
      </c>
      <c r="K57" s="214" t="s">
        <v>148</v>
      </c>
    </row>
    <row r="58" spans="1:11" ht="15" customHeight="1" x14ac:dyDescent="0.35">
      <c r="A58" s="206" t="s">
        <v>185</v>
      </c>
      <c r="B58" s="206" t="s">
        <v>184</v>
      </c>
      <c r="C58" s="206" t="s">
        <v>117</v>
      </c>
      <c r="D58" s="207" t="s">
        <v>68</v>
      </c>
      <c r="E58" s="206" t="s">
        <v>141</v>
      </c>
      <c r="F58" s="206">
        <v>2018</v>
      </c>
      <c r="G58" s="206">
        <v>8</v>
      </c>
      <c r="H58" s="206">
        <v>8</v>
      </c>
      <c r="I58" s="206">
        <v>0</v>
      </c>
      <c r="J58" s="213" t="s">
        <v>676</v>
      </c>
      <c r="K58" s="214" t="s">
        <v>148</v>
      </c>
    </row>
    <row r="59" spans="1:11" ht="15" customHeight="1" x14ac:dyDescent="0.35">
      <c r="A59" s="210" t="s">
        <v>191</v>
      </c>
      <c r="B59" s="210" t="s">
        <v>190</v>
      </c>
      <c r="C59" s="210" t="s">
        <v>117</v>
      </c>
      <c r="D59" s="211" t="s">
        <v>192</v>
      </c>
      <c r="E59" s="210" t="s">
        <v>141</v>
      </c>
      <c r="F59" s="210">
        <v>2019</v>
      </c>
      <c r="G59" s="210">
        <v>7</v>
      </c>
      <c r="H59" s="210">
        <v>8</v>
      </c>
      <c r="I59" s="210">
        <v>1</v>
      </c>
      <c r="J59" s="215" t="s">
        <v>677</v>
      </c>
      <c r="K59" s="214" t="s">
        <v>148</v>
      </c>
    </row>
    <row r="60" spans="1:11" ht="15" customHeight="1" x14ac:dyDescent="0.35">
      <c r="A60" s="206" t="s">
        <v>201</v>
      </c>
      <c r="B60" s="206" t="s">
        <v>200</v>
      </c>
      <c r="C60" s="206" t="s">
        <v>117</v>
      </c>
      <c r="D60" s="207" t="s">
        <v>68</v>
      </c>
      <c r="E60" s="206" t="s">
        <v>141</v>
      </c>
      <c r="F60" s="206">
        <v>2019</v>
      </c>
      <c r="G60" s="206">
        <v>7</v>
      </c>
      <c r="H60" s="206">
        <v>8</v>
      </c>
      <c r="I60" s="206">
        <v>1</v>
      </c>
      <c r="J60" s="215" t="s">
        <v>677</v>
      </c>
      <c r="K60" s="214" t="s">
        <v>148</v>
      </c>
    </row>
    <row r="61" spans="1:11" ht="15" customHeight="1" x14ac:dyDescent="0.35">
      <c r="A61" s="210" t="s">
        <v>204</v>
      </c>
      <c r="B61" s="210" t="s">
        <v>203</v>
      </c>
      <c r="C61" s="210" t="s">
        <v>117</v>
      </c>
      <c r="D61" s="211" t="s">
        <v>68</v>
      </c>
      <c r="E61" s="210" t="s">
        <v>141</v>
      </c>
      <c r="F61" s="210">
        <v>2019</v>
      </c>
      <c r="G61" s="210">
        <v>7</v>
      </c>
      <c r="H61" s="210">
        <v>8</v>
      </c>
      <c r="I61" s="210">
        <v>1</v>
      </c>
      <c r="J61" s="215" t="s">
        <v>677</v>
      </c>
      <c r="K61" s="214" t="s">
        <v>148</v>
      </c>
    </row>
    <row r="62" spans="1:11" ht="15" customHeight="1" x14ac:dyDescent="0.35">
      <c r="A62" s="206" t="s">
        <v>206</v>
      </c>
      <c r="B62" s="206" t="s">
        <v>205</v>
      </c>
      <c r="C62" s="206" t="s">
        <v>117</v>
      </c>
      <c r="D62" s="207" t="s">
        <v>548</v>
      </c>
      <c r="E62" s="206" t="s">
        <v>141</v>
      </c>
      <c r="F62" s="206">
        <v>2019</v>
      </c>
      <c r="G62" s="206">
        <v>7</v>
      </c>
      <c r="H62" s="206">
        <v>8</v>
      </c>
      <c r="I62" s="206">
        <v>1</v>
      </c>
      <c r="J62" s="215" t="s">
        <v>677</v>
      </c>
      <c r="K62" s="214" t="s">
        <v>148</v>
      </c>
    </row>
    <row r="63" spans="1:11" ht="15" customHeight="1" x14ac:dyDescent="0.35">
      <c r="A63" s="210" t="s">
        <v>209</v>
      </c>
      <c r="B63" s="210" t="s">
        <v>208</v>
      </c>
      <c r="C63" s="210" t="s">
        <v>117</v>
      </c>
      <c r="D63" s="211" t="s">
        <v>68</v>
      </c>
      <c r="E63" s="210" t="s">
        <v>141</v>
      </c>
      <c r="F63" s="210">
        <v>2019</v>
      </c>
      <c r="G63" s="210">
        <v>7</v>
      </c>
      <c r="H63" s="210">
        <v>8</v>
      </c>
      <c r="I63" s="210">
        <v>1</v>
      </c>
      <c r="J63" s="215" t="s">
        <v>677</v>
      </c>
      <c r="K63" s="214" t="s">
        <v>148</v>
      </c>
    </row>
    <row r="64" spans="1:11" ht="15" customHeight="1" x14ac:dyDescent="0.35">
      <c r="A64" s="206" t="s">
        <v>215</v>
      </c>
      <c r="B64" s="206" t="s">
        <v>214</v>
      </c>
      <c r="C64" s="206" t="s">
        <v>117</v>
      </c>
      <c r="D64" s="207" t="s">
        <v>68</v>
      </c>
      <c r="E64" s="206" t="s">
        <v>141</v>
      </c>
      <c r="F64" s="206">
        <v>2019</v>
      </c>
      <c r="G64" s="206">
        <v>7</v>
      </c>
      <c r="H64" s="206">
        <v>8</v>
      </c>
      <c r="I64" s="206">
        <v>1</v>
      </c>
      <c r="J64" s="215" t="s">
        <v>677</v>
      </c>
      <c r="K64" s="214" t="s">
        <v>148</v>
      </c>
    </row>
    <row r="65" spans="1:11" ht="15" customHeight="1" x14ac:dyDescent="0.35">
      <c r="A65" s="210" t="s">
        <v>218</v>
      </c>
      <c r="B65" s="210" t="s">
        <v>217</v>
      </c>
      <c r="C65" s="210" t="s">
        <v>117</v>
      </c>
      <c r="D65" s="211" t="s">
        <v>68</v>
      </c>
      <c r="E65" s="210" t="s">
        <v>141</v>
      </c>
      <c r="F65" s="210">
        <v>2019</v>
      </c>
      <c r="G65" s="210">
        <v>7</v>
      </c>
      <c r="H65" s="210">
        <v>8</v>
      </c>
      <c r="I65" s="210">
        <v>1</v>
      </c>
      <c r="J65" s="215" t="s">
        <v>677</v>
      </c>
      <c r="K65" s="214" t="s">
        <v>148</v>
      </c>
    </row>
    <row r="66" spans="1:11" ht="15" customHeight="1" x14ac:dyDescent="0.35">
      <c r="A66" s="206" t="s">
        <v>221</v>
      </c>
      <c r="B66" s="206" t="s">
        <v>220</v>
      </c>
      <c r="C66" s="206" t="s">
        <v>117</v>
      </c>
      <c r="D66" s="207" t="s">
        <v>68</v>
      </c>
      <c r="E66" s="206" t="s">
        <v>141</v>
      </c>
      <c r="F66" s="206">
        <v>2019</v>
      </c>
      <c r="G66" s="206">
        <v>7</v>
      </c>
      <c r="H66" s="206">
        <v>8</v>
      </c>
      <c r="I66" s="206">
        <v>1</v>
      </c>
      <c r="J66" s="215" t="s">
        <v>677</v>
      </c>
      <c r="K66" s="214" t="s">
        <v>148</v>
      </c>
    </row>
    <row r="67" spans="1:11" ht="15" customHeight="1" x14ac:dyDescent="0.35">
      <c r="A67" s="210" t="s">
        <v>224</v>
      </c>
      <c r="B67" s="210" t="s">
        <v>223</v>
      </c>
      <c r="C67" s="210" t="s">
        <v>117</v>
      </c>
      <c r="D67" s="211" t="s">
        <v>68</v>
      </c>
      <c r="E67" s="210" t="s">
        <v>141</v>
      </c>
      <c r="F67" s="210">
        <v>2019</v>
      </c>
      <c r="G67" s="210">
        <v>7</v>
      </c>
      <c r="H67" s="210">
        <v>8</v>
      </c>
      <c r="I67" s="210">
        <v>1</v>
      </c>
      <c r="J67" s="215" t="s">
        <v>677</v>
      </c>
      <c r="K67" s="214" t="s">
        <v>148</v>
      </c>
    </row>
    <row r="68" spans="1:11" ht="15" customHeight="1" x14ac:dyDescent="0.35">
      <c r="A68" s="206" t="s">
        <v>229</v>
      </c>
      <c r="B68" s="206" t="s">
        <v>228</v>
      </c>
      <c r="C68" s="206" t="s">
        <v>117</v>
      </c>
      <c r="D68" s="207" t="s">
        <v>513</v>
      </c>
      <c r="E68" s="206" t="s">
        <v>141</v>
      </c>
      <c r="F68" s="206">
        <v>2019</v>
      </c>
      <c r="G68" s="206">
        <v>7</v>
      </c>
      <c r="H68" s="206">
        <v>8</v>
      </c>
      <c r="I68" s="206">
        <v>1</v>
      </c>
      <c r="J68" s="215" t="s">
        <v>677</v>
      </c>
      <c r="K68" s="212" t="s">
        <v>76</v>
      </c>
    </row>
    <row r="69" spans="1:11" ht="15" customHeight="1" x14ac:dyDescent="0.35">
      <c r="A69" s="210" t="s">
        <v>232</v>
      </c>
      <c r="B69" s="210" t="s">
        <v>231</v>
      </c>
      <c r="C69" s="210" t="s">
        <v>117</v>
      </c>
      <c r="D69" s="211" t="s">
        <v>68</v>
      </c>
      <c r="E69" s="210" t="s">
        <v>141</v>
      </c>
      <c r="F69" s="210">
        <v>2019</v>
      </c>
      <c r="G69" s="210">
        <v>7</v>
      </c>
      <c r="H69" s="210">
        <v>8</v>
      </c>
      <c r="I69" s="210">
        <v>1</v>
      </c>
      <c r="J69" s="215" t="s">
        <v>677</v>
      </c>
      <c r="K69" s="214" t="s">
        <v>148</v>
      </c>
    </row>
    <row r="70" spans="1:11" ht="15" customHeight="1" x14ac:dyDescent="0.35">
      <c r="A70" s="206" t="s">
        <v>238</v>
      </c>
      <c r="B70" s="206" t="s">
        <v>237</v>
      </c>
      <c r="C70" s="206" t="s">
        <v>117</v>
      </c>
      <c r="D70" s="207" t="s">
        <v>71</v>
      </c>
      <c r="E70" s="206" t="s">
        <v>141</v>
      </c>
      <c r="F70" s="206">
        <v>2019</v>
      </c>
      <c r="G70" s="206">
        <v>7</v>
      </c>
      <c r="H70" s="206">
        <v>8</v>
      </c>
      <c r="I70" s="206">
        <v>1</v>
      </c>
      <c r="J70" s="215" t="s">
        <v>677</v>
      </c>
      <c r="K70" s="214" t="s">
        <v>148</v>
      </c>
    </row>
    <row r="71" spans="1:11" ht="15" customHeight="1" x14ac:dyDescent="0.35">
      <c r="A71" s="210" t="s">
        <v>241</v>
      </c>
      <c r="B71" s="210" t="s">
        <v>240</v>
      </c>
      <c r="C71" s="210" t="s">
        <v>117</v>
      </c>
      <c r="D71" s="211" t="s">
        <v>68</v>
      </c>
      <c r="E71" s="210" t="s">
        <v>141</v>
      </c>
      <c r="F71" s="210">
        <v>2019</v>
      </c>
      <c r="G71" s="210">
        <v>7</v>
      </c>
      <c r="H71" s="210">
        <v>8</v>
      </c>
      <c r="I71" s="210">
        <v>1</v>
      </c>
      <c r="J71" s="215" t="s">
        <v>677</v>
      </c>
      <c r="K71" s="214" t="s">
        <v>148</v>
      </c>
    </row>
    <row r="72" spans="1:11" ht="15" customHeight="1" x14ac:dyDescent="0.35">
      <c r="A72" s="206" t="s">
        <v>464</v>
      </c>
      <c r="B72" s="206" t="s">
        <v>463</v>
      </c>
      <c r="C72" s="206" t="s">
        <v>118</v>
      </c>
      <c r="D72" s="207" t="s">
        <v>513</v>
      </c>
      <c r="E72" s="206" t="s">
        <v>141</v>
      </c>
      <c r="F72" s="206">
        <v>2019</v>
      </c>
      <c r="G72" s="206">
        <v>7</v>
      </c>
      <c r="H72" s="206">
        <v>8</v>
      </c>
      <c r="I72" s="206">
        <v>1</v>
      </c>
      <c r="J72" s="215" t="s">
        <v>677</v>
      </c>
      <c r="K72" s="212" t="s">
        <v>76</v>
      </c>
    </row>
    <row r="73" spans="1:11" ht="15" customHeight="1" x14ac:dyDescent="0.35">
      <c r="A73" s="210" t="s">
        <v>244</v>
      </c>
      <c r="B73" s="210" t="s">
        <v>243</v>
      </c>
      <c r="C73" s="210" t="s">
        <v>117</v>
      </c>
      <c r="D73" s="211" t="s">
        <v>68</v>
      </c>
      <c r="E73" s="210" t="s">
        <v>141</v>
      </c>
      <c r="F73" s="210">
        <v>2023</v>
      </c>
      <c r="G73" s="210">
        <v>3</v>
      </c>
      <c r="H73" s="210">
        <v>8</v>
      </c>
      <c r="I73" s="210">
        <v>5</v>
      </c>
      <c r="J73" s="209" t="s">
        <v>679</v>
      </c>
      <c r="K73" s="214" t="s">
        <v>148</v>
      </c>
    </row>
    <row r="74" spans="1:11" ht="15" customHeight="1" x14ac:dyDescent="0.35">
      <c r="A74" s="206" t="s">
        <v>248</v>
      </c>
      <c r="B74" s="206" t="s">
        <v>247</v>
      </c>
      <c r="C74" s="206" t="s">
        <v>117</v>
      </c>
      <c r="D74" s="207" t="s">
        <v>516</v>
      </c>
      <c r="E74" s="206" t="s">
        <v>141</v>
      </c>
      <c r="F74" s="206">
        <v>2023</v>
      </c>
      <c r="G74" s="206">
        <v>3</v>
      </c>
      <c r="H74" s="206">
        <v>8</v>
      </c>
      <c r="I74" s="206">
        <v>5</v>
      </c>
      <c r="J74" s="209" t="s">
        <v>679</v>
      </c>
      <c r="K74" s="212" t="s">
        <v>76</v>
      </c>
    </row>
    <row r="75" spans="1:11" ht="15" customHeight="1" x14ac:dyDescent="0.35">
      <c r="A75" s="210" t="s">
        <v>252</v>
      </c>
      <c r="B75" s="210" t="s">
        <v>251</v>
      </c>
      <c r="C75" s="210" t="s">
        <v>117</v>
      </c>
      <c r="D75" s="211" t="s">
        <v>68</v>
      </c>
      <c r="E75" s="210" t="s">
        <v>141</v>
      </c>
      <c r="F75" s="210">
        <v>2023</v>
      </c>
      <c r="G75" s="210">
        <v>3</v>
      </c>
      <c r="H75" s="210">
        <v>8</v>
      </c>
      <c r="I75" s="210">
        <v>5</v>
      </c>
      <c r="J75" s="209" t="s">
        <v>679</v>
      </c>
      <c r="K75" s="214" t="s">
        <v>148</v>
      </c>
    </row>
    <row r="76" spans="1:11" ht="15" customHeight="1" x14ac:dyDescent="0.35">
      <c r="A76" s="206" t="s">
        <v>255</v>
      </c>
      <c r="B76" s="206" t="s">
        <v>254</v>
      </c>
      <c r="C76" s="206" t="s">
        <v>117</v>
      </c>
      <c r="D76" s="207" t="s">
        <v>68</v>
      </c>
      <c r="E76" s="206" t="s">
        <v>141</v>
      </c>
      <c r="F76" s="206">
        <v>2023</v>
      </c>
      <c r="G76" s="206">
        <v>3</v>
      </c>
      <c r="H76" s="206">
        <v>8</v>
      </c>
      <c r="I76" s="206">
        <v>5</v>
      </c>
      <c r="J76" s="209" t="s">
        <v>679</v>
      </c>
      <c r="K76" s="214" t="s">
        <v>148</v>
      </c>
    </row>
    <row r="77" spans="1:11" ht="15" customHeight="1" x14ac:dyDescent="0.35">
      <c r="A77" s="210" t="s">
        <v>258</v>
      </c>
      <c r="B77" s="210" t="s">
        <v>257</v>
      </c>
      <c r="C77" s="210" t="s">
        <v>117</v>
      </c>
      <c r="D77" s="211" t="s">
        <v>68</v>
      </c>
      <c r="E77" s="210" t="s">
        <v>141</v>
      </c>
      <c r="F77" s="210">
        <v>2023</v>
      </c>
      <c r="G77" s="210">
        <v>3</v>
      </c>
      <c r="H77" s="210">
        <v>8</v>
      </c>
      <c r="I77" s="210">
        <v>5</v>
      </c>
      <c r="J77" s="209" t="s">
        <v>679</v>
      </c>
      <c r="K77" s="214" t="s">
        <v>148</v>
      </c>
    </row>
    <row r="78" spans="1:11" ht="15" customHeight="1" x14ac:dyDescent="0.35">
      <c r="A78" s="206" t="s">
        <v>261</v>
      </c>
      <c r="B78" s="206" t="s">
        <v>260</v>
      </c>
      <c r="C78" s="206" t="s">
        <v>117</v>
      </c>
      <c r="D78" s="207" t="s">
        <v>68</v>
      </c>
      <c r="E78" s="206" t="s">
        <v>141</v>
      </c>
      <c r="F78" s="206">
        <v>2023</v>
      </c>
      <c r="G78" s="206">
        <v>3</v>
      </c>
      <c r="H78" s="206">
        <v>8</v>
      </c>
      <c r="I78" s="206">
        <v>5</v>
      </c>
      <c r="J78" s="209" t="s">
        <v>679</v>
      </c>
      <c r="K78" s="214" t="s">
        <v>148</v>
      </c>
    </row>
    <row r="79" spans="1:11" ht="15" customHeight="1" x14ac:dyDescent="0.35">
      <c r="A79" s="210" t="s">
        <v>264</v>
      </c>
      <c r="B79" s="210" t="s">
        <v>263</v>
      </c>
      <c r="C79" s="210" t="s">
        <v>117</v>
      </c>
      <c r="D79" s="211" t="s">
        <v>68</v>
      </c>
      <c r="E79" s="210" t="s">
        <v>141</v>
      </c>
      <c r="F79" s="210">
        <v>2023</v>
      </c>
      <c r="G79" s="210">
        <v>3</v>
      </c>
      <c r="H79" s="210">
        <v>8</v>
      </c>
      <c r="I79" s="210">
        <v>5</v>
      </c>
      <c r="J79" s="209" t="s">
        <v>679</v>
      </c>
      <c r="K79" s="214" t="s">
        <v>148</v>
      </c>
    </row>
    <row r="80" spans="1:11" ht="15" customHeight="1" x14ac:dyDescent="0.35">
      <c r="A80" s="206" t="s">
        <v>267</v>
      </c>
      <c r="B80" s="206" t="s">
        <v>266</v>
      </c>
      <c r="C80" s="206" t="s">
        <v>117</v>
      </c>
      <c r="D80" s="207" t="s">
        <v>68</v>
      </c>
      <c r="E80" s="206" t="s">
        <v>141</v>
      </c>
      <c r="F80" s="206">
        <v>2023</v>
      </c>
      <c r="G80" s="206">
        <v>3</v>
      </c>
      <c r="H80" s="206">
        <v>8</v>
      </c>
      <c r="I80" s="206">
        <v>5</v>
      </c>
      <c r="J80" s="209" t="s">
        <v>679</v>
      </c>
      <c r="K80" s="214" t="s">
        <v>148</v>
      </c>
    </row>
    <row r="81" spans="1:12" ht="15" customHeight="1" x14ac:dyDescent="0.35">
      <c r="A81" s="210" t="s">
        <v>271</v>
      </c>
      <c r="B81" s="210" t="s">
        <v>270</v>
      </c>
      <c r="C81" s="210" t="s">
        <v>117</v>
      </c>
      <c r="D81" s="211" t="s">
        <v>68</v>
      </c>
      <c r="E81" s="210" t="s">
        <v>141</v>
      </c>
      <c r="F81" s="210">
        <v>2023</v>
      </c>
      <c r="G81" s="210">
        <v>3</v>
      </c>
      <c r="H81" s="210">
        <v>8</v>
      </c>
      <c r="I81" s="210">
        <v>5</v>
      </c>
      <c r="J81" s="209" t="s">
        <v>679</v>
      </c>
      <c r="K81" s="214" t="s">
        <v>148</v>
      </c>
    </row>
    <row r="82" spans="1:12" ht="15" customHeight="1" x14ac:dyDescent="0.35">
      <c r="A82" s="206" t="s">
        <v>279</v>
      </c>
      <c r="B82" s="206" t="s">
        <v>278</v>
      </c>
      <c r="C82" s="206" t="s">
        <v>117</v>
      </c>
      <c r="D82" s="207" t="s">
        <v>516</v>
      </c>
      <c r="E82" s="206" t="s">
        <v>141</v>
      </c>
      <c r="F82" s="206">
        <v>2023</v>
      </c>
      <c r="G82" s="206">
        <v>3</v>
      </c>
      <c r="H82" s="206">
        <v>8</v>
      </c>
      <c r="I82" s="206">
        <v>5</v>
      </c>
      <c r="J82" s="209" t="s">
        <v>679</v>
      </c>
      <c r="K82" s="212" t="s">
        <v>76</v>
      </c>
    </row>
    <row r="83" spans="1:12" ht="15" customHeight="1" x14ac:dyDescent="0.35">
      <c r="A83" s="210" t="s">
        <v>301</v>
      </c>
      <c r="B83" s="210" t="s">
        <v>142</v>
      </c>
      <c r="C83" s="210" t="s">
        <v>117</v>
      </c>
      <c r="D83" s="211" t="s">
        <v>68</v>
      </c>
      <c r="E83" s="210" t="s">
        <v>141</v>
      </c>
      <c r="F83" s="210">
        <v>2023</v>
      </c>
      <c r="G83" s="210">
        <v>3</v>
      </c>
      <c r="H83" s="210">
        <v>8</v>
      </c>
      <c r="I83" s="210">
        <v>5</v>
      </c>
      <c r="J83" s="209" t="s">
        <v>679</v>
      </c>
      <c r="K83" s="214" t="s">
        <v>148</v>
      </c>
    </row>
    <row r="84" spans="1:12" ht="15" customHeight="1" x14ac:dyDescent="0.35">
      <c r="A84" s="206" t="s">
        <v>282</v>
      </c>
      <c r="B84" s="206" t="s">
        <v>281</v>
      </c>
      <c r="C84" s="206" t="s">
        <v>117</v>
      </c>
      <c r="D84" s="207" t="s">
        <v>516</v>
      </c>
      <c r="E84" s="206" t="s">
        <v>141</v>
      </c>
      <c r="F84" s="206">
        <v>2024</v>
      </c>
      <c r="G84" s="206">
        <v>2</v>
      </c>
      <c r="H84" s="206">
        <v>8</v>
      </c>
      <c r="I84" s="206">
        <v>6</v>
      </c>
      <c r="J84" s="209" t="s">
        <v>680</v>
      </c>
      <c r="K84" s="212" t="s">
        <v>76</v>
      </c>
    </row>
    <row r="85" spans="1:12" ht="15" customHeight="1" x14ac:dyDescent="0.35">
      <c r="A85" s="210" t="s">
        <v>284</v>
      </c>
      <c r="B85" s="210" t="s">
        <v>283</v>
      </c>
      <c r="C85" s="210" t="s">
        <v>117</v>
      </c>
      <c r="D85" s="211" t="s">
        <v>513</v>
      </c>
      <c r="E85" s="210" t="s">
        <v>141</v>
      </c>
      <c r="F85" s="210">
        <v>2024</v>
      </c>
      <c r="G85" s="210">
        <v>2</v>
      </c>
      <c r="H85" s="210">
        <v>8</v>
      </c>
      <c r="I85" s="210">
        <v>6</v>
      </c>
      <c r="J85" s="209" t="s">
        <v>680</v>
      </c>
      <c r="K85" s="212" t="s">
        <v>76</v>
      </c>
    </row>
    <row r="86" spans="1:12" ht="15" customHeight="1" x14ac:dyDescent="0.35">
      <c r="A86" s="206" t="s">
        <v>287</v>
      </c>
      <c r="B86" s="206" t="s">
        <v>286</v>
      </c>
      <c r="C86" s="206" t="s">
        <v>117</v>
      </c>
      <c r="D86" s="207" t="s">
        <v>192</v>
      </c>
      <c r="E86" s="206" t="s">
        <v>141</v>
      </c>
      <c r="F86" s="206">
        <v>2024</v>
      </c>
      <c r="G86" s="206">
        <v>2</v>
      </c>
      <c r="H86" s="206">
        <v>8</v>
      </c>
      <c r="I86" s="206">
        <v>6</v>
      </c>
      <c r="J86" s="209" t="s">
        <v>680</v>
      </c>
      <c r="K86" s="214" t="s">
        <v>148</v>
      </c>
    </row>
    <row r="87" spans="1:12" ht="15" customHeight="1" x14ac:dyDescent="0.35">
      <c r="A87" s="210" t="s">
        <v>293</v>
      </c>
      <c r="B87" s="210" t="s">
        <v>292</v>
      </c>
      <c r="C87" s="210" t="s">
        <v>117</v>
      </c>
      <c r="D87" s="211" t="s">
        <v>192</v>
      </c>
      <c r="E87" s="210" t="s">
        <v>141</v>
      </c>
      <c r="F87" s="210">
        <v>2024</v>
      </c>
      <c r="G87" s="210">
        <v>2</v>
      </c>
      <c r="H87" s="210">
        <v>8</v>
      </c>
      <c r="I87" s="210">
        <v>6</v>
      </c>
      <c r="J87" s="209" t="s">
        <v>680</v>
      </c>
      <c r="K87" s="214" t="s">
        <v>148</v>
      </c>
    </row>
    <row r="88" spans="1:12" ht="15" customHeight="1" x14ac:dyDescent="0.35">
      <c r="A88" s="206" t="s">
        <v>296</v>
      </c>
      <c r="B88" s="206" t="s">
        <v>295</v>
      </c>
      <c r="C88" s="206" t="s">
        <v>117</v>
      </c>
      <c r="D88" s="207" t="s">
        <v>513</v>
      </c>
      <c r="E88" s="206" t="s">
        <v>141</v>
      </c>
      <c r="F88" s="206">
        <v>2024</v>
      </c>
      <c r="G88" s="206">
        <v>2</v>
      </c>
      <c r="H88" s="206">
        <v>8</v>
      </c>
      <c r="I88" s="206">
        <v>6</v>
      </c>
      <c r="J88" s="209" t="s">
        <v>680</v>
      </c>
      <c r="K88" s="212" t="s">
        <v>76</v>
      </c>
    </row>
    <row r="89" spans="1:12" ht="15" customHeight="1" x14ac:dyDescent="0.35">
      <c r="A89" s="210" t="s">
        <v>299</v>
      </c>
      <c r="B89" s="210" t="s">
        <v>298</v>
      </c>
      <c r="C89" s="210" t="s">
        <v>117</v>
      </c>
      <c r="D89" s="211" t="s">
        <v>192</v>
      </c>
      <c r="E89" s="210" t="s">
        <v>141</v>
      </c>
      <c r="F89" s="210">
        <v>2024</v>
      </c>
      <c r="G89" s="210">
        <v>2</v>
      </c>
      <c r="H89" s="210">
        <v>8</v>
      </c>
      <c r="I89" s="210">
        <v>6</v>
      </c>
      <c r="J89" s="209" t="s">
        <v>680</v>
      </c>
      <c r="K89" s="214" t="s">
        <v>148</v>
      </c>
    </row>
    <row r="91" spans="1:12" ht="24" customHeight="1" x14ac:dyDescent="0.35">
      <c r="A91" s="399" t="s">
        <v>681</v>
      </c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</row>
    <row r="92" spans="1:12" ht="18" customHeight="1" x14ac:dyDescent="0.35">
      <c r="A92" s="194" t="s">
        <v>125</v>
      </c>
      <c r="B92" s="194" t="s">
        <v>317</v>
      </c>
      <c r="C92" s="194" t="s">
        <v>64</v>
      </c>
      <c r="D92" s="194" t="s">
        <v>130</v>
      </c>
      <c r="E92" s="194" t="s">
        <v>671</v>
      </c>
      <c r="F92" s="194" t="s">
        <v>128</v>
      </c>
      <c r="G92" s="194" t="s">
        <v>137</v>
      </c>
      <c r="H92" s="194" t="s">
        <v>138</v>
      </c>
      <c r="I92" s="194" t="s">
        <v>672</v>
      </c>
      <c r="J92" s="194" t="s">
        <v>673</v>
      </c>
      <c r="K92" s="194" t="s">
        <v>134</v>
      </c>
    </row>
    <row r="93" spans="1:12" ht="15" customHeight="1" x14ac:dyDescent="0.35">
      <c r="A93" s="206" t="s">
        <v>312</v>
      </c>
      <c r="B93" s="206" t="s">
        <v>311</v>
      </c>
      <c r="C93" s="206" t="s">
        <v>114</v>
      </c>
      <c r="D93" s="207" t="s">
        <v>543</v>
      </c>
      <c r="E93" s="206" t="s">
        <v>674</v>
      </c>
      <c r="F93" s="206">
        <v>2017</v>
      </c>
      <c r="G93" s="206">
        <v>9</v>
      </c>
      <c r="H93" s="206" t="s">
        <v>69</v>
      </c>
      <c r="I93" s="206" t="s">
        <v>69</v>
      </c>
      <c r="J93" s="208" t="s">
        <v>675</v>
      </c>
      <c r="K93" s="214" t="s">
        <v>148</v>
      </c>
    </row>
    <row r="94" spans="1:12" ht="15" customHeight="1" x14ac:dyDescent="0.35">
      <c r="A94" s="210" t="s">
        <v>322</v>
      </c>
      <c r="B94" s="210" t="s">
        <v>321</v>
      </c>
      <c r="C94" s="210" t="s">
        <v>114</v>
      </c>
      <c r="D94" s="211" t="s">
        <v>521</v>
      </c>
      <c r="E94" s="210" t="s">
        <v>674</v>
      </c>
      <c r="F94" s="210">
        <v>2018</v>
      </c>
      <c r="G94" s="210">
        <v>8</v>
      </c>
      <c r="H94" s="210" t="s">
        <v>69</v>
      </c>
      <c r="I94" s="210" t="s">
        <v>69</v>
      </c>
      <c r="J94" s="208" t="s">
        <v>675</v>
      </c>
      <c r="K94" s="214" t="s">
        <v>148</v>
      </c>
    </row>
    <row r="95" spans="1:12" ht="15" customHeight="1" x14ac:dyDescent="0.35">
      <c r="A95" s="206" t="s">
        <v>326</v>
      </c>
      <c r="B95" s="206" t="s">
        <v>325</v>
      </c>
      <c r="C95" s="206" t="s">
        <v>114</v>
      </c>
      <c r="D95" s="207" t="s">
        <v>521</v>
      </c>
      <c r="E95" s="206" t="s">
        <v>674</v>
      </c>
      <c r="F95" s="206">
        <v>2019</v>
      </c>
      <c r="G95" s="206">
        <v>7</v>
      </c>
      <c r="H95" s="206" t="s">
        <v>69</v>
      </c>
      <c r="I95" s="206" t="s">
        <v>69</v>
      </c>
      <c r="J95" s="208" t="s">
        <v>675</v>
      </c>
      <c r="K95" s="214" t="s">
        <v>148</v>
      </c>
    </row>
    <row r="96" spans="1:12" ht="15" customHeight="1" x14ac:dyDescent="0.35">
      <c r="A96" s="210" t="s">
        <v>328</v>
      </c>
      <c r="B96" s="210" t="s">
        <v>327</v>
      </c>
      <c r="C96" s="210" t="s">
        <v>114</v>
      </c>
      <c r="D96" s="211" t="s">
        <v>551</v>
      </c>
      <c r="E96" s="210" t="s">
        <v>674</v>
      </c>
      <c r="F96" s="210">
        <v>2019</v>
      </c>
      <c r="G96" s="210">
        <v>7</v>
      </c>
      <c r="H96" s="210" t="s">
        <v>69</v>
      </c>
      <c r="I96" s="210" t="s">
        <v>69</v>
      </c>
      <c r="J96" s="208" t="s">
        <v>675</v>
      </c>
      <c r="K96" s="214" t="s">
        <v>148</v>
      </c>
    </row>
    <row r="97" spans="1:11" ht="15" customHeight="1" x14ac:dyDescent="0.35">
      <c r="A97" s="206" t="s">
        <v>436</v>
      </c>
      <c r="B97" s="206" t="s">
        <v>435</v>
      </c>
      <c r="C97" s="206" t="s">
        <v>116</v>
      </c>
      <c r="D97" s="207" t="s">
        <v>331</v>
      </c>
      <c r="E97" s="206" t="s">
        <v>674</v>
      </c>
      <c r="F97" s="206">
        <v>2019</v>
      </c>
      <c r="G97" s="206">
        <v>7</v>
      </c>
      <c r="H97" s="206" t="s">
        <v>69</v>
      </c>
      <c r="I97" s="206" t="s">
        <v>69</v>
      </c>
      <c r="J97" s="208" t="s">
        <v>675</v>
      </c>
      <c r="K97" s="214" t="s">
        <v>148</v>
      </c>
    </row>
    <row r="98" spans="1:11" ht="15" customHeight="1" x14ac:dyDescent="0.35">
      <c r="A98" s="210" t="s">
        <v>330</v>
      </c>
      <c r="B98" s="210" t="s">
        <v>329</v>
      </c>
      <c r="C98" s="210" t="s">
        <v>114</v>
      </c>
      <c r="D98" s="211" t="s">
        <v>518</v>
      </c>
      <c r="E98" s="210" t="s">
        <v>674</v>
      </c>
      <c r="F98" s="210">
        <v>2021</v>
      </c>
      <c r="G98" s="210">
        <v>5</v>
      </c>
      <c r="H98" s="210" t="s">
        <v>69</v>
      </c>
      <c r="I98" s="210" t="s">
        <v>69</v>
      </c>
      <c r="J98" s="208" t="s">
        <v>675</v>
      </c>
      <c r="K98" s="214" t="s">
        <v>148</v>
      </c>
    </row>
    <row r="99" spans="1:11" ht="15" customHeight="1" x14ac:dyDescent="0.35">
      <c r="A99" s="206" t="s">
        <v>333</v>
      </c>
      <c r="B99" s="206" t="s">
        <v>332</v>
      </c>
      <c r="C99" s="206" t="s">
        <v>114</v>
      </c>
      <c r="D99" s="207" t="s">
        <v>335</v>
      </c>
      <c r="E99" s="206" t="s">
        <v>674</v>
      </c>
      <c r="F99" s="206">
        <v>2022</v>
      </c>
      <c r="G99" s="206">
        <v>4</v>
      </c>
      <c r="H99" s="206" t="s">
        <v>69</v>
      </c>
      <c r="I99" s="206" t="s">
        <v>69</v>
      </c>
      <c r="J99" s="208" t="s">
        <v>675</v>
      </c>
      <c r="K99" s="214" t="s">
        <v>148</v>
      </c>
    </row>
    <row r="100" spans="1:11" ht="15" customHeight="1" x14ac:dyDescent="0.35">
      <c r="A100" s="210" t="s">
        <v>337</v>
      </c>
      <c r="B100" s="210" t="s">
        <v>336</v>
      </c>
      <c r="C100" s="210" t="s">
        <v>114</v>
      </c>
      <c r="D100" s="211" t="s">
        <v>521</v>
      </c>
      <c r="E100" s="210" t="s">
        <v>674</v>
      </c>
      <c r="F100" s="210">
        <v>2022</v>
      </c>
      <c r="G100" s="210">
        <v>4</v>
      </c>
      <c r="H100" s="210" t="s">
        <v>69</v>
      </c>
      <c r="I100" s="210" t="s">
        <v>69</v>
      </c>
      <c r="J100" s="208" t="s">
        <v>675</v>
      </c>
      <c r="K100" s="214" t="s">
        <v>148</v>
      </c>
    </row>
    <row r="101" spans="1:11" ht="15" customHeight="1" x14ac:dyDescent="0.35">
      <c r="A101" s="206" t="s">
        <v>341</v>
      </c>
      <c r="B101" s="206" t="s">
        <v>340</v>
      </c>
      <c r="C101" s="206" t="s">
        <v>114</v>
      </c>
      <c r="D101" s="207" t="s">
        <v>511</v>
      </c>
      <c r="E101" s="206" t="s">
        <v>674</v>
      </c>
      <c r="F101" s="206">
        <v>2022</v>
      </c>
      <c r="G101" s="206">
        <v>4</v>
      </c>
      <c r="H101" s="206" t="s">
        <v>69</v>
      </c>
      <c r="I101" s="206" t="s">
        <v>69</v>
      </c>
      <c r="J101" s="208" t="s">
        <v>675</v>
      </c>
      <c r="K101" s="214" t="s">
        <v>148</v>
      </c>
    </row>
    <row r="102" spans="1:11" ht="15" customHeight="1" x14ac:dyDescent="0.35">
      <c r="A102" s="210" t="s">
        <v>344</v>
      </c>
      <c r="B102" s="210" t="s">
        <v>343</v>
      </c>
      <c r="C102" s="210" t="s">
        <v>114</v>
      </c>
      <c r="D102" s="211" t="s">
        <v>518</v>
      </c>
      <c r="E102" s="210" t="s">
        <v>674</v>
      </c>
      <c r="F102" s="210">
        <v>2022</v>
      </c>
      <c r="G102" s="210">
        <v>4</v>
      </c>
      <c r="H102" s="210" t="s">
        <v>69</v>
      </c>
      <c r="I102" s="210" t="s">
        <v>69</v>
      </c>
      <c r="J102" s="208" t="s">
        <v>675</v>
      </c>
      <c r="K102" s="214" t="s">
        <v>148</v>
      </c>
    </row>
    <row r="103" spans="1:11" ht="15" customHeight="1" x14ac:dyDescent="0.35">
      <c r="A103" s="206" t="s">
        <v>347</v>
      </c>
      <c r="B103" s="206" t="s">
        <v>346</v>
      </c>
      <c r="C103" s="206" t="s">
        <v>114</v>
      </c>
      <c r="D103" s="207" t="s">
        <v>335</v>
      </c>
      <c r="E103" s="206" t="s">
        <v>674</v>
      </c>
      <c r="F103" s="206">
        <v>2022</v>
      </c>
      <c r="G103" s="206">
        <v>4</v>
      </c>
      <c r="H103" s="206" t="s">
        <v>69</v>
      </c>
      <c r="I103" s="206" t="s">
        <v>69</v>
      </c>
      <c r="J103" s="208" t="s">
        <v>675</v>
      </c>
      <c r="K103" s="214" t="s">
        <v>148</v>
      </c>
    </row>
    <row r="104" spans="1:11" ht="15" customHeight="1" x14ac:dyDescent="0.35">
      <c r="A104" s="210" t="s">
        <v>442</v>
      </c>
      <c r="B104" s="210" t="s">
        <v>441</v>
      </c>
      <c r="C104" s="210" t="s">
        <v>116</v>
      </c>
      <c r="D104" s="211" t="s">
        <v>539</v>
      </c>
      <c r="E104" s="210" t="s">
        <v>674</v>
      </c>
      <c r="F104" s="210">
        <v>2022</v>
      </c>
      <c r="G104" s="210">
        <v>4</v>
      </c>
      <c r="H104" s="210" t="s">
        <v>69</v>
      </c>
      <c r="I104" s="210" t="s">
        <v>69</v>
      </c>
      <c r="J104" s="208" t="s">
        <v>675</v>
      </c>
      <c r="K104" s="212" t="s">
        <v>76</v>
      </c>
    </row>
    <row r="105" spans="1:11" ht="15" customHeight="1" x14ac:dyDescent="0.35">
      <c r="A105" s="206" t="s">
        <v>349</v>
      </c>
      <c r="B105" s="206" t="s">
        <v>348</v>
      </c>
      <c r="C105" s="206" t="s">
        <v>114</v>
      </c>
      <c r="D105" s="207" t="s">
        <v>542</v>
      </c>
      <c r="E105" s="206" t="s">
        <v>674</v>
      </c>
      <c r="F105" s="206">
        <v>2023</v>
      </c>
      <c r="G105" s="206">
        <v>3</v>
      </c>
      <c r="H105" s="206" t="s">
        <v>69</v>
      </c>
      <c r="I105" s="206" t="s">
        <v>69</v>
      </c>
      <c r="J105" s="208" t="s">
        <v>675</v>
      </c>
      <c r="K105" s="214" t="s">
        <v>148</v>
      </c>
    </row>
    <row r="106" spans="1:11" ht="15" customHeight="1" x14ac:dyDescent="0.35">
      <c r="A106" s="210" t="s">
        <v>352</v>
      </c>
      <c r="B106" s="210" t="s">
        <v>298</v>
      </c>
      <c r="C106" s="210" t="s">
        <v>114</v>
      </c>
      <c r="D106" s="211" t="s">
        <v>511</v>
      </c>
      <c r="E106" s="210" t="s">
        <v>674</v>
      </c>
      <c r="F106" s="210">
        <v>2024</v>
      </c>
      <c r="G106" s="210">
        <v>2</v>
      </c>
      <c r="H106" s="210" t="s">
        <v>69</v>
      </c>
      <c r="I106" s="210" t="s">
        <v>69</v>
      </c>
      <c r="J106" s="208" t="s">
        <v>675</v>
      </c>
      <c r="K106" s="214" t="s">
        <v>148</v>
      </c>
    </row>
    <row r="107" spans="1:11" ht="15" customHeight="1" x14ac:dyDescent="0.35">
      <c r="A107" s="206" t="s">
        <v>355</v>
      </c>
      <c r="B107" s="206" t="s">
        <v>354</v>
      </c>
      <c r="C107" s="206" t="s">
        <v>114</v>
      </c>
      <c r="D107" s="207" t="s">
        <v>511</v>
      </c>
      <c r="E107" s="206" t="s">
        <v>674</v>
      </c>
      <c r="F107" s="206">
        <v>2024</v>
      </c>
      <c r="G107" s="206">
        <v>2</v>
      </c>
      <c r="H107" s="206" t="s">
        <v>69</v>
      </c>
      <c r="I107" s="206" t="s">
        <v>69</v>
      </c>
      <c r="J107" s="208" t="s">
        <v>675</v>
      </c>
      <c r="K107" s="214" t="s">
        <v>148</v>
      </c>
    </row>
    <row r="108" spans="1:11" ht="15" customHeight="1" x14ac:dyDescent="0.35">
      <c r="A108" s="210" t="s">
        <v>358</v>
      </c>
      <c r="B108" s="210" t="s">
        <v>357</v>
      </c>
      <c r="C108" s="210" t="s">
        <v>114</v>
      </c>
      <c r="D108" s="211" t="s">
        <v>511</v>
      </c>
      <c r="E108" s="210" t="s">
        <v>674</v>
      </c>
      <c r="F108" s="210">
        <v>2024</v>
      </c>
      <c r="G108" s="210">
        <v>2</v>
      </c>
      <c r="H108" s="210" t="s">
        <v>69</v>
      </c>
      <c r="I108" s="210" t="s">
        <v>69</v>
      </c>
      <c r="J108" s="208" t="s">
        <v>675</v>
      </c>
      <c r="K108" s="214" t="s">
        <v>148</v>
      </c>
    </row>
    <row r="109" spans="1:11" ht="15" customHeight="1" x14ac:dyDescent="0.35">
      <c r="A109" s="206" t="s">
        <v>361</v>
      </c>
      <c r="B109" s="206" t="s">
        <v>360</v>
      </c>
      <c r="C109" s="206" t="s">
        <v>114</v>
      </c>
      <c r="D109" s="207" t="s">
        <v>511</v>
      </c>
      <c r="E109" s="206" t="s">
        <v>674</v>
      </c>
      <c r="F109" s="206">
        <v>2024</v>
      </c>
      <c r="G109" s="206">
        <v>2</v>
      </c>
      <c r="H109" s="206" t="s">
        <v>69</v>
      </c>
      <c r="I109" s="206" t="s">
        <v>69</v>
      </c>
      <c r="J109" s="208" t="s">
        <v>675</v>
      </c>
      <c r="K109" s="214" t="s">
        <v>148</v>
      </c>
    </row>
    <row r="110" spans="1:11" ht="15" customHeight="1" x14ac:dyDescent="0.35">
      <c r="A110" s="210" t="s">
        <v>363</v>
      </c>
      <c r="B110" s="210" t="s">
        <v>362</v>
      </c>
      <c r="C110" s="210" t="s">
        <v>114</v>
      </c>
      <c r="D110" s="211" t="s">
        <v>511</v>
      </c>
      <c r="E110" s="210" t="s">
        <v>674</v>
      </c>
      <c r="F110" s="210">
        <v>2024</v>
      </c>
      <c r="G110" s="210">
        <v>2</v>
      </c>
      <c r="H110" s="210" t="s">
        <v>69</v>
      </c>
      <c r="I110" s="210" t="s">
        <v>69</v>
      </c>
      <c r="J110" s="208" t="s">
        <v>675</v>
      </c>
      <c r="K110" s="214" t="s">
        <v>148</v>
      </c>
    </row>
    <row r="111" spans="1:11" ht="15" customHeight="1" x14ac:dyDescent="0.35">
      <c r="A111" s="206" t="s">
        <v>365</v>
      </c>
      <c r="B111" s="206" t="s">
        <v>364</v>
      </c>
      <c r="C111" s="206" t="s">
        <v>114</v>
      </c>
      <c r="D111" s="207" t="s">
        <v>511</v>
      </c>
      <c r="E111" s="206" t="s">
        <v>674</v>
      </c>
      <c r="F111" s="206">
        <v>2024</v>
      </c>
      <c r="G111" s="206">
        <v>2</v>
      </c>
      <c r="H111" s="206" t="s">
        <v>69</v>
      </c>
      <c r="I111" s="206" t="s">
        <v>69</v>
      </c>
      <c r="J111" s="208" t="s">
        <v>675</v>
      </c>
      <c r="K111" s="214" t="s">
        <v>148</v>
      </c>
    </row>
    <row r="112" spans="1:11" ht="15" customHeight="1" x14ac:dyDescent="0.35">
      <c r="A112" s="210" t="s">
        <v>483</v>
      </c>
      <c r="B112" s="210" t="s">
        <v>482</v>
      </c>
      <c r="C112" s="210" t="s">
        <v>115</v>
      </c>
      <c r="D112" s="211" t="s">
        <v>528</v>
      </c>
      <c r="E112" s="210" t="s">
        <v>674</v>
      </c>
      <c r="F112" s="210">
        <v>2024</v>
      </c>
      <c r="G112" s="210">
        <v>2</v>
      </c>
      <c r="H112" s="210" t="s">
        <v>69</v>
      </c>
      <c r="I112" s="210" t="s">
        <v>69</v>
      </c>
      <c r="J112" s="208" t="s">
        <v>675</v>
      </c>
      <c r="K112" s="214" t="s">
        <v>148</v>
      </c>
    </row>
    <row r="113" spans="1:12" ht="15" customHeight="1" x14ac:dyDescent="0.35">
      <c r="A113" s="206" t="s">
        <v>367</v>
      </c>
      <c r="B113" s="206" t="s">
        <v>366</v>
      </c>
      <c r="C113" s="206" t="s">
        <v>114</v>
      </c>
      <c r="D113" s="207" t="s">
        <v>518</v>
      </c>
      <c r="E113" s="206" t="s">
        <v>674</v>
      </c>
      <c r="F113" s="206">
        <v>2025</v>
      </c>
      <c r="G113" s="206">
        <v>1</v>
      </c>
      <c r="H113" s="206" t="s">
        <v>69</v>
      </c>
      <c r="I113" s="206" t="s">
        <v>69</v>
      </c>
      <c r="J113" s="208" t="s">
        <v>675</v>
      </c>
      <c r="K113" s="214" t="s">
        <v>148</v>
      </c>
    </row>
    <row r="114" spans="1:12" ht="15" customHeight="1" x14ac:dyDescent="0.35">
      <c r="A114" s="210" t="s">
        <v>369</v>
      </c>
      <c r="B114" s="210" t="s">
        <v>368</v>
      </c>
      <c r="C114" s="210" t="s">
        <v>114</v>
      </c>
      <c r="D114" s="211" t="s">
        <v>547</v>
      </c>
      <c r="E114" s="210" t="s">
        <v>674</v>
      </c>
      <c r="F114" s="210">
        <v>2025</v>
      </c>
      <c r="G114" s="210">
        <v>1</v>
      </c>
      <c r="H114" s="210" t="s">
        <v>69</v>
      </c>
      <c r="I114" s="210" t="s">
        <v>69</v>
      </c>
      <c r="J114" s="208" t="s">
        <v>675</v>
      </c>
      <c r="K114" s="214" t="s">
        <v>148</v>
      </c>
    </row>
    <row r="115" spans="1:12" ht="15" customHeight="1" x14ac:dyDescent="0.35">
      <c r="A115" s="206" t="s">
        <v>450</v>
      </c>
      <c r="B115" s="206" t="s">
        <v>449</v>
      </c>
      <c r="C115" s="206" t="s">
        <v>116</v>
      </c>
      <c r="D115" s="207" t="s">
        <v>552</v>
      </c>
      <c r="E115" s="206" t="s">
        <v>674</v>
      </c>
      <c r="F115" s="206">
        <v>2025</v>
      </c>
      <c r="G115" s="206">
        <v>1</v>
      </c>
      <c r="H115" s="206" t="s">
        <v>69</v>
      </c>
      <c r="I115" s="206" t="s">
        <v>69</v>
      </c>
      <c r="J115" s="208" t="s">
        <v>675</v>
      </c>
      <c r="K115" s="214" t="s">
        <v>148</v>
      </c>
    </row>
    <row r="116" spans="1:12" ht="15" customHeight="1" x14ac:dyDescent="0.35">
      <c r="A116" s="210" t="s">
        <v>486</v>
      </c>
      <c r="B116" s="210" t="s">
        <v>485</v>
      </c>
      <c r="C116" s="210" t="s">
        <v>115</v>
      </c>
      <c r="D116" s="211" t="s">
        <v>528</v>
      </c>
      <c r="E116" s="210" t="s">
        <v>674</v>
      </c>
      <c r="F116" s="210">
        <v>2025</v>
      </c>
      <c r="G116" s="210">
        <v>1</v>
      </c>
      <c r="H116" s="210" t="s">
        <v>69</v>
      </c>
      <c r="I116" s="210" t="s">
        <v>69</v>
      </c>
      <c r="J116" s="208" t="s">
        <v>675</v>
      </c>
      <c r="K116" s="214" t="s">
        <v>148</v>
      </c>
    </row>
    <row r="117" spans="1:12" ht="15" customHeight="1" x14ac:dyDescent="0.35">
      <c r="A117" s="206" t="s">
        <v>319</v>
      </c>
      <c r="B117" s="206" t="s">
        <v>318</v>
      </c>
      <c r="C117" s="206" t="s">
        <v>114</v>
      </c>
      <c r="D117" s="207" t="s">
        <v>550</v>
      </c>
      <c r="E117" s="206" t="s">
        <v>379</v>
      </c>
      <c r="F117" s="206">
        <v>2017</v>
      </c>
      <c r="G117" s="206">
        <v>9</v>
      </c>
      <c r="H117" s="206">
        <v>3</v>
      </c>
      <c r="I117" s="206">
        <v>-6</v>
      </c>
      <c r="J117" s="213" t="s">
        <v>676</v>
      </c>
      <c r="K117" s="214" t="s">
        <v>148</v>
      </c>
    </row>
    <row r="118" spans="1:12" ht="15" customHeight="1" x14ac:dyDescent="0.35">
      <c r="A118" s="210" t="s">
        <v>439</v>
      </c>
      <c r="B118" s="210" t="s">
        <v>438</v>
      </c>
      <c r="C118" s="210" t="s">
        <v>116</v>
      </c>
      <c r="D118" s="211" t="s">
        <v>505</v>
      </c>
      <c r="E118" s="210" t="s">
        <v>379</v>
      </c>
      <c r="F118" s="210">
        <v>2022</v>
      </c>
      <c r="G118" s="210">
        <v>4</v>
      </c>
      <c r="H118" s="210">
        <v>3</v>
      </c>
      <c r="I118" s="210">
        <v>-1</v>
      </c>
      <c r="J118" s="213" t="s">
        <v>676</v>
      </c>
      <c r="K118" s="214" t="s">
        <v>148</v>
      </c>
    </row>
    <row r="119" spans="1:12" ht="15" customHeight="1" x14ac:dyDescent="0.35">
      <c r="A119" s="206" t="s">
        <v>444</v>
      </c>
      <c r="B119" s="206" t="s">
        <v>443</v>
      </c>
      <c r="C119" s="206" t="s">
        <v>116</v>
      </c>
      <c r="D119" s="207" t="s">
        <v>505</v>
      </c>
      <c r="E119" s="206" t="s">
        <v>379</v>
      </c>
      <c r="F119" s="206">
        <v>2022</v>
      </c>
      <c r="G119" s="206">
        <v>4</v>
      </c>
      <c r="H119" s="206">
        <v>3</v>
      </c>
      <c r="I119" s="206">
        <v>-1</v>
      </c>
      <c r="J119" s="213" t="s">
        <v>676</v>
      </c>
      <c r="K119" s="214" t="s">
        <v>148</v>
      </c>
    </row>
    <row r="120" spans="1:12" ht="15" customHeight="1" x14ac:dyDescent="0.35">
      <c r="A120" s="210" t="s">
        <v>447</v>
      </c>
      <c r="B120" s="210" t="s">
        <v>446</v>
      </c>
      <c r="C120" s="210" t="s">
        <v>116</v>
      </c>
      <c r="D120" s="211" t="s">
        <v>390</v>
      </c>
      <c r="E120" s="210" t="s">
        <v>379</v>
      </c>
      <c r="F120" s="210">
        <v>2023</v>
      </c>
      <c r="G120" s="210">
        <v>3</v>
      </c>
      <c r="H120" s="210">
        <v>3</v>
      </c>
      <c r="I120" s="210">
        <v>0</v>
      </c>
      <c r="J120" s="213" t="s">
        <v>676</v>
      </c>
      <c r="K120" s="214" t="s">
        <v>148</v>
      </c>
    </row>
    <row r="122" spans="1:12" ht="24" customHeight="1" x14ac:dyDescent="0.35">
      <c r="A122" s="398" t="s">
        <v>682</v>
      </c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</row>
    <row r="123" spans="1:12" ht="18" customHeight="1" x14ac:dyDescent="0.35">
      <c r="A123" s="192" t="s">
        <v>683</v>
      </c>
      <c r="B123" s="192" t="s">
        <v>39</v>
      </c>
      <c r="C123" s="192" t="s">
        <v>40</v>
      </c>
      <c r="D123" s="192" t="s">
        <v>41</v>
      </c>
      <c r="E123" s="192" t="s">
        <v>42</v>
      </c>
      <c r="F123" s="192" t="s">
        <v>43</v>
      </c>
      <c r="G123" s="192" t="s">
        <v>44</v>
      </c>
      <c r="H123" s="192" t="s">
        <v>45</v>
      </c>
      <c r="I123" s="192" t="s">
        <v>46</v>
      </c>
      <c r="J123" s="192" t="s">
        <v>684</v>
      </c>
      <c r="K123" s="192" t="s">
        <v>25</v>
      </c>
    </row>
    <row r="124" spans="1:12" ht="17.149999999999999" customHeight="1" x14ac:dyDescent="0.35">
      <c r="A124" s="216" t="s">
        <v>685</v>
      </c>
      <c r="B124" s="213">
        <v>5</v>
      </c>
      <c r="C124" s="215">
        <v>8</v>
      </c>
      <c r="D124" s="217">
        <v>7</v>
      </c>
      <c r="E124" s="218" t="s">
        <v>69</v>
      </c>
      <c r="F124" s="218" t="s">
        <v>69</v>
      </c>
      <c r="G124" s="218" t="s">
        <v>69</v>
      </c>
      <c r="H124" s="218" t="s">
        <v>69</v>
      </c>
      <c r="I124" s="218" t="s">
        <v>69</v>
      </c>
      <c r="J124" s="213">
        <v>11</v>
      </c>
      <c r="K124" s="207">
        <v>31</v>
      </c>
    </row>
    <row r="125" spans="1:12" ht="17.149999999999999" customHeight="1" x14ac:dyDescent="0.35">
      <c r="A125" s="219" t="s">
        <v>686</v>
      </c>
      <c r="B125" s="213">
        <v>1</v>
      </c>
      <c r="C125" s="215">
        <v>14</v>
      </c>
      <c r="D125" s="220" t="s">
        <v>69</v>
      </c>
      <c r="E125" s="220" t="s">
        <v>69</v>
      </c>
      <c r="F125" s="220" t="s">
        <v>69</v>
      </c>
      <c r="G125" s="217">
        <v>11</v>
      </c>
      <c r="H125" s="217">
        <v>6</v>
      </c>
      <c r="I125" s="220" t="s">
        <v>69</v>
      </c>
      <c r="J125" s="213">
        <v>3</v>
      </c>
      <c r="K125" s="211">
        <v>35</v>
      </c>
    </row>
    <row r="126" spans="1:12" ht="17.149999999999999" customHeight="1" x14ac:dyDescent="0.35">
      <c r="A126" s="216" t="s">
        <v>687</v>
      </c>
      <c r="B126" s="218" t="s">
        <v>69</v>
      </c>
      <c r="C126" s="218" t="s">
        <v>69</v>
      </c>
      <c r="D126" s="218" t="s">
        <v>69</v>
      </c>
      <c r="E126" s="218" t="s">
        <v>69</v>
      </c>
      <c r="F126" s="218" t="s">
        <v>69</v>
      </c>
      <c r="G126" s="218" t="s">
        <v>69</v>
      </c>
      <c r="H126" s="218" t="s">
        <v>69</v>
      </c>
      <c r="I126" s="218" t="s">
        <v>69</v>
      </c>
      <c r="J126" s="218" t="s">
        <v>69</v>
      </c>
      <c r="K126" s="207">
        <v>18</v>
      </c>
    </row>
    <row r="127" spans="1:12" ht="4" customHeight="1" x14ac:dyDescent="0.35"/>
    <row r="128" spans="1:12" ht="17.149999999999999" customHeight="1" x14ac:dyDescent="0.35">
      <c r="A128" s="219" t="s">
        <v>688</v>
      </c>
      <c r="B128" s="213">
        <v>1</v>
      </c>
      <c r="C128" s="220" t="s">
        <v>69</v>
      </c>
      <c r="D128" s="220" t="s">
        <v>69</v>
      </c>
      <c r="E128" s="220" t="s">
        <v>69</v>
      </c>
      <c r="F128" s="220" t="s">
        <v>69</v>
      </c>
      <c r="G128" s="220" t="s">
        <v>69</v>
      </c>
      <c r="H128" s="220" t="s">
        <v>69</v>
      </c>
      <c r="I128" s="220" t="s">
        <v>69</v>
      </c>
      <c r="J128" s="213">
        <v>3</v>
      </c>
      <c r="K128" s="211">
        <v>4</v>
      </c>
    </row>
    <row r="129" spans="1:11" ht="17.149999999999999" customHeight="1" x14ac:dyDescent="0.35">
      <c r="A129" s="219" t="s">
        <v>689</v>
      </c>
      <c r="B129" s="220" t="s">
        <v>69</v>
      </c>
      <c r="C129" s="220" t="s">
        <v>69</v>
      </c>
      <c r="D129" s="220" t="s">
        <v>69</v>
      </c>
      <c r="E129" s="220" t="s">
        <v>69</v>
      </c>
      <c r="F129" s="220" t="s">
        <v>69</v>
      </c>
      <c r="G129" s="220" t="s">
        <v>69</v>
      </c>
      <c r="H129" s="220" t="s">
        <v>69</v>
      </c>
      <c r="I129" s="220" t="s">
        <v>69</v>
      </c>
      <c r="J129" s="220" t="s">
        <v>69</v>
      </c>
      <c r="K129" s="211">
        <v>24</v>
      </c>
    </row>
    <row r="132" spans="1:11" ht="18" customHeight="1" x14ac:dyDescent="0.35">
      <c r="A132" s="395" t="s">
        <v>26</v>
      </c>
      <c r="B132" s="339"/>
      <c r="C132" s="339"/>
      <c r="D132" s="339"/>
      <c r="E132" s="213" t="s">
        <v>676</v>
      </c>
      <c r="F132" s="215" t="s">
        <v>677</v>
      </c>
      <c r="G132" s="212" t="s">
        <v>678</v>
      </c>
      <c r="H132" s="209" t="s">
        <v>690</v>
      </c>
    </row>
  </sheetData>
  <autoFilter ref="A5:K89" xr:uid="{00000000-0009-0000-0000-000005000000}"/>
  <mergeCells count="6">
    <mergeCell ref="A132:D132"/>
    <mergeCell ref="A2:L2"/>
    <mergeCell ref="A1:L1"/>
    <mergeCell ref="A122:L122"/>
    <mergeCell ref="A91:L91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showGridLines="0" workbookViewId="0">
      <selection activeCell="R11" sqref="R11"/>
    </sheetView>
  </sheetViews>
  <sheetFormatPr baseColWidth="10" defaultColWidth="8.81640625" defaultRowHeight="14.5" x14ac:dyDescent="0.35"/>
  <cols>
    <col min="1" max="1" width="22" customWidth="1"/>
    <col min="2" max="12" width="7" customWidth="1"/>
    <col min="13" max="13" width="8" customWidth="1"/>
    <col min="15" max="24" width="13" customWidth="1"/>
  </cols>
  <sheetData>
    <row r="1" spans="1:23" ht="28" customHeight="1" x14ac:dyDescent="0.35">
      <c r="A1" s="385" t="s">
        <v>691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</row>
    <row r="2" spans="1:23" ht="16" customHeight="1" x14ac:dyDescent="0.35">
      <c r="A2" s="401" t="s">
        <v>692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</row>
    <row r="3" spans="1:23" ht="8.15" customHeight="1" x14ac:dyDescent="0.35"/>
    <row r="4" spans="1:23" ht="22" customHeight="1" x14ac:dyDescent="0.35">
      <c r="A4" s="383" t="s">
        <v>670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O4" t="s">
        <v>128</v>
      </c>
      <c r="P4" t="s">
        <v>693</v>
      </c>
      <c r="Q4" t="s">
        <v>694</v>
      </c>
      <c r="R4" t="s">
        <v>141</v>
      </c>
      <c r="T4" t="s">
        <v>128</v>
      </c>
      <c r="U4" t="s">
        <v>693</v>
      </c>
      <c r="V4" t="s">
        <v>694</v>
      </c>
      <c r="W4" t="s">
        <v>141</v>
      </c>
    </row>
    <row r="5" spans="1:23" ht="18" customHeight="1" x14ac:dyDescent="0.35">
      <c r="A5" s="171" t="s">
        <v>671</v>
      </c>
      <c r="B5" s="171">
        <v>2023</v>
      </c>
      <c r="C5" s="171">
        <v>2024</v>
      </c>
      <c r="D5" s="171">
        <v>2025</v>
      </c>
      <c r="E5" s="171">
        <v>2026</v>
      </c>
      <c r="F5" s="171">
        <v>2027</v>
      </c>
      <c r="G5" s="171">
        <v>2028</v>
      </c>
      <c r="H5" s="171">
        <v>2029</v>
      </c>
      <c r="I5" s="171">
        <v>2030</v>
      </c>
      <c r="J5" s="171">
        <v>2031</v>
      </c>
      <c r="K5" s="171">
        <v>2032</v>
      </c>
      <c r="L5" s="171">
        <v>2033</v>
      </c>
      <c r="M5" s="171" t="s">
        <v>25</v>
      </c>
      <c r="O5">
        <v>2023</v>
      </c>
      <c r="P5">
        <v>1</v>
      </c>
      <c r="Q5">
        <v>0</v>
      </c>
      <c r="R5">
        <v>0</v>
      </c>
      <c r="T5">
        <v>2023</v>
      </c>
      <c r="U5">
        <v>1</v>
      </c>
      <c r="V5">
        <v>1</v>
      </c>
      <c r="W5">
        <v>0</v>
      </c>
    </row>
    <row r="6" spans="1:23" ht="16" customHeight="1" x14ac:dyDescent="0.35">
      <c r="A6" s="222" t="s">
        <v>693</v>
      </c>
      <c r="B6" s="223">
        <v>1</v>
      </c>
      <c r="C6" s="224" t="s">
        <v>69</v>
      </c>
      <c r="D6" s="224" t="s">
        <v>69</v>
      </c>
      <c r="E6" s="223">
        <v>3</v>
      </c>
      <c r="F6" s="223">
        <v>2</v>
      </c>
      <c r="G6" s="223">
        <v>6</v>
      </c>
      <c r="H6" s="223">
        <v>5</v>
      </c>
      <c r="I6" s="224" t="s">
        <v>69</v>
      </c>
      <c r="J6" s="224" t="s">
        <v>69</v>
      </c>
      <c r="K6" s="224" t="s">
        <v>69</v>
      </c>
      <c r="L6" s="224" t="s">
        <v>69</v>
      </c>
      <c r="M6" s="223">
        <v>17</v>
      </c>
      <c r="O6">
        <v>2024</v>
      </c>
      <c r="P6">
        <v>0</v>
      </c>
      <c r="Q6">
        <v>0</v>
      </c>
      <c r="R6">
        <v>0</v>
      </c>
      <c r="T6">
        <v>2024</v>
      </c>
      <c r="U6">
        <v>0</v>
      </c>
      <c r="V6">
        <v>0</v>
      </c>
      <c r="W6">
        <v>0</v>
      </c>
    </row>
    <row r="7" spans="1:23" ht="16" customHeight="1" x14ac:dyDescent="0.35">
      <c r="A7" s="225" t="s">
        <v>694</v>
      </c>
      <c r="B7" s="226" t="s">
        <v>69</v>
      </c>
      <c r="C7" s="226" t="s">
        <v>69</v>
      </c>
      <c r="D7" s="227">
        <v>5</v>
      </c>
      <c r="E7" s="226" t="s">
        <v>69</v>
      </c>
      <c r="F7" s="226" t="s">
        <v>69</v>
      </c>
      <c r="G7" s="227">
        <v>2</v>
      </c>
      <c r="H7" s="227">
        <v>3</v>
      </c>
      <c r="I7" s="227">
        <v>2</v>
      </c>
      <c r="J7" s="227">
        <v>2</v>
      </c>
      <c r="K7" s="226" t="s">
        <v>69</v>
      </c>
      <c r="L7" s="226" t="s">
        <v>69</v>
      </c>
      <c r="M7" s="227">
        <v>14</v>
      </c>
      <c r="O7">
        <v>2025</v>
      </c>
      <c r="P7">
        <v>0</v>
      </c>
      <c r="Q7">
        <v>5</v>
      </c>
      <c r="R7">
        <v>0</v>
      </c>
      <c r="T7">
        <v>2025</v>
      </c>
      <c r="U7">
        <v>0</v>
      </c>
      <c r="V7">
        <v>5</v>
      </c>
      <c r="W7">
        <v>0</v>
      </c>
    </row>
    <row r="8" spans="1:23" ht="16" customHeight="1" x14ac:dyDescent="0.35">
      <c r="A8" s="228" t="s">
        <v>141</v>
      </c>
      <c r="B8" s="224" t="s">
        <v>69</v>
      </c>
      <c r="C8" s="224" t="s">
        <v>69</v>
      </c>
      <c r="D8" s="224" t="s">
        <v>69</v>
      </c>
      <c r="E8" s="212">
        <v>3</v>
      </c>
      <c r="F8" s="212">
        <v>1</v>
      </c>
      <c r="G8" s="212">
        <v>14</v>
      </c>
      <c r="H8" s="224" t="s">
        <v>69</v>
      </c>
      <c r="I8" s="224" t="s">
        <v>69</v>
      </c>
      <c r="J8" s="224" t="s">
        <v>69</v>
      </c>
      <c r="K8" s="212">
        <v>11</v>
      </c>
      <c r="L8" s="212">
        <v>6</v>
      </c>
      <c r="M8" s="212">
        <v>35</v>
      </c>
      <c r="O8">
        <v>2026</v>
      </c>
      <c r="P8">
        <v>3</v>
      </c>
      <c r="Q8">
        <v>0</v>
      </c>
      <c r="R8">
        <v>3</v>
      </c>
      <c r="T8">
        <v>2026</v>
      </c>
      <c r="U8">
        <v>5</v>
      </c>
      <c r="V8">
        <v>0</v>
      </c>
      <c r="W8">
        <v>3</v>
      </c>
    </row>
    <row r="9" spans="1:23" ht="20.149999999999999" customHeight="1" x14ac:dyDescent="0.35">
      <c r="A9" s="229" t="s">
        <v>88</v>
      </c>
      <c r="B9" s="197">
        <v>1</v>
      </c>
      <c r="C9" s="197" t="s">
        <v>69</v>
      </c>
      <c r="D9" s="197">
        <v>5</v>
      </c>
      <c r="E9" s="197">
        <v>6</v>
      </c>
      <c r="F9" s="197">
        <v>3</v>
      </c>
      <c r="G9" s="197">
        <v>22</v>
      </c>
      <c r="H9" s="197">
        <v>8</v>
      </c>
      <c r="I9" s="197">
        <v>2</v>
      </c>
      <c r="J9" s="197">
        <v>2</v>
      </c>
      <c r="K9" s="197">
        <v>11</v>
      </c>
      <c r="L9" s="197">
        <v>6</v>
      </c>
      <c r="M9" s="197">
        <v>66</v>
      </c>
      <c r="O9">
        <v>2027</v>
      </c>
      <c r="P9">
        <v>2</v>
      </c>
      <c r="Q9">
        <v>0</v>
      </c>
      <c r="R9">
        <v>1</v>
      </c>
      <c r="T9">
        <v>2027</v>
      </c>
      <c r="U9">
        <v>2</v>
      </c>
      <c r="V9">
        <v>0</v>
      </c>
      <c r="W9">
        <v>1</v>
      </c>
    </row>
    <row r="10" spans="1:23" ht="6" customHeight="1" x14ac:dyDescent="0.35">
      <c r="O10">
        <v>2028</v>
      </c>
      <c r="P10">
        <v>6</v>
      </c>
      <c r="Q10">
        <v>2</v>
      </c>
      <c r="R10">
        <v>14</v>
      </c>
      <c r="T10">
        <v>2028</v>
      </c>
      <c r="U10">
        <v>6</v>
      </c>
      <c r="V10">
        <v>2</v>
      </c>
      <c r="W10">
        <v>14</v>
      </c>
    </row>
    <row r="11" spans="1:23" ht="22" customHeight="1" x14ac:dyDescent="0.35">
      <c r="A11" s="366" t="s">
        <v>681</v>
      </c>
      <c r="B11" s="33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O11">
        <v>2029</v>
      </c>
      <c r="P11">
        <v>5</v>
      </c>
      <c r="Q11">
        <v>3</v>
      </c>
      <c r="R11">
        <v>0</v>
      </c>
      <c r="T11">
        <v>2029</v>
      </c>
      <c r="U11">
        <v>5</v>
      </c>
      <c r="V11">
        <v>4</v>
      </c>
      <c r="W11">
        <v>0</v>
      </c>
    </row>
    <row r="12" spans="1:23" ht="18" customHeight="1" x14ac:dyDescent="0.35">
      <c r="A12" s="194" t="s">
        <v>671</v>
      </c>
      <c r="B12" s="194">
        <v>2023</v>
      </c>
      <c r="C12" s="194">
        <v>2024</v>
      </c>
      <c r="D12" s="194">
        <v>2025</v>
      </c>
      <c r="E12" s="194">
        <v>2026</v>
      </c>
      <c r="F12" s="194">
        <v>2027</v>
      </c>
      <c r="G12" s="194">
        <v>2028</v>
      </c>
      <c r="H12" s="194">
        <v>2029</v>
      </c>
      <c r="I12" s="194">
        <v>2030</v>
      </c>
      <c r="J12" s="194">
        <v>2031</v>
      </c>
      <c r="K12" s="194">
        <v>2032</v>
      </c>
      <c r="L12" s="194">
        <v>2033</v>
      </c>
      <c r="M12" s="194" t="s">
        <v>25</v>
      </c>
      <c r="O12">
        <v>2030</v>
      </c>
      <c r="P12">
        <v>0</v>
      </c>
      <c r="Q12">
        <v>2</v>
      </c>
      <c r="R12">
        <v>0</v>
      </c>
      <c r="T12">
        <v>2030</v>
      </c>
      <c r="U12">
        <v>0</v>
      </c>
      <c r="V12">
        <v>2</v>
      </c>
      <c r="W12">
        <v>0</v>
      </c>
    </row>
    <row r="13" spans="1:23" ht="16" customHeight="1" x14ac:dyDescent="0.35">
      <c r="A13" s="222" t="s">
        <v>693</v>
      </c>
      <c r="B13" s="224" t="s">
        <v>69</v>
      </c>
      <c r="C13" s="224" t="s">
        <v>69</v>
      </c>
      <c r="D13" s="224" t="s">
        <v>69</v>
      </c>
      <c r="E13" s="223">
        <v>2</v>
      </c>
      <c r="F13" s="224" t="s">
        <v>69</v>
      </c>
      <c r="G13" s="224" t="s">
        <v>69</v>
      </c>
      <c r="H13" s="224" t="s">
        <v>69</v>
      </c>
      <c r="I13" s="224" t="s">
        <v>69</v>
      </c>
      <c r="J13" s="224" t="s">
        <v>69</v>
      </c>
      <c r="K13" s="224" t="s">
        <v>69</v>
      </c>
      <c r="L13" s="224" t="s">
        <v>69</v>
      </c>
      <c r="M13" s="223">
        <v>2</v>
      </c>
      <c r="O13">
        <v>2031</v>
      </c>
      <c r="P13">
        <v>0</v>
      </c>
      <c r="Q13">
        <v>2</v>
      </c>
      <c r="R13">
        <v>0</v>
      </c>
      <c r="T13">
        <v>2031</v>
      </c>
      <c r="U13">
        <v>0</v>
      </c>
      <c r="V13">
        <v>2</v>
      </c>
      <c r="W13">
        <v>0</v>
      </c>
    </row>
    <row r="14" spans="1:23" ht="16" customHeight="1" x14ac:dyDescent="0.35">
      <c r="A14" s="225" t="s">
        <v>694</v>
      </c>
      <c r="B14" s="227">
        <v>1</v>
      </c>
      <c r="C14" s="226" t="s">
        <v>69</v>
      </c>
      <c r="D14" s="226" t="s">
        <v>69</v>
      </c>
      <c r="E14" s="226" t="s">
        <v>69</v>
      </c>
      <c r="F14" s="226" t="s">
        <v>69</v>
      </c>
      <c r="G14" s="226" t="s">
        <v>69</v>
      </c>
      <c r="H14" s="227">
        <v>1</v>
      </c>
      <c r="I14" s="226" t="s">
        <v>69</v>
      </c>
      <c r="J14" s="226" t="s">
        <v>69</v>
      </c>
      <c r="K14" s="226" t="s">
        <v>69</v>
      </c>
      <c r="L14" s="226" t="s">
        <v>69</v>
      </c>
      <c r="M14" s="227">
        <v>2</v>
      </c>
      <c r="O14">
        <v>2032</v>
      </c>
      <c r="P14">
        <v>0</v>
      </c>
      <c r="Q14">
        <v>0</v>
      </c>
      <c r="R14">
        <v>11</v>
      </c>
      <c r="T14">
        <v>2032</v>
      </c>
      <c r="U14">
        <v>0</v>
      </c>
      <c r="V14">
        <v>0</v>
      </c>
      <c r="W14">
        <v>11</v>
      </c>
    </row>
    <row r="15" spans="1:23" ht="16" customHeight="1" x14ac:dyDescent="0.35">
      <c r="A15" s="228" t="s">
        <v>141</v>
      </c>
      <c r="B15" s="224" t="s">
        <v>69</v>
      </c>
      <c r="C15" s="224" t="s">
        <v>69</v>
      </c>
      <c r="D15" s="224" t="s">
        <v>69</v>
      </c>
      <c r="E15" s="224" t="s">
        <v>69</v>
      </c>
      <c r="F15" s="224" t="s">
        <v>69</v>
      </c>
      <c r="G15" s="224" t="s">
        <v>69</v>
      </c>
      <c r="H15" s="224" t="s">
        <v>69</v>
      </c>
      <c r="I15" s="224" t="s">
        <v>69</v>
      </c>
      <c r="J15" s="224" t="s">
        <v>69</v>
      </c>
      <c r="K15" s="224" t="s">
        <v>69</v>
      </c>
      <c r="L15" s="224" t="s">
        <v>69</v>
      </c>
      <c r="M15" s="212">
        <v>0</v>
      </c>
      <c r="O15">
        <v>2033</v>
      </c>
      <c r="P15">
        <v>0</v>
      </c>
      <c r="Q15">
        <v>0</v>
      </c>
      <c r="R15">
        <v>6</v>
      </c>
      <c r="T15">
        <v>2033</v>
      </c>
      <c r="U15">
        <v>0</v>
      </c>
      <c r="V15">
        <v>0</v>
      </c>
      <c r="W15">
        <v>6</v>
      </c>
    </row>
    <row r="16" spans="1:23" ht="20.149999999999999" customHeight="1" x14ac:dyDescent="0.35">
      <c r="A16" s="230" t="s">
        <v>102</v>
      </c>
      <c r="B16" s="195">
        <v>1</v>
      </c>
      <c r="C16" s="195" t="s">
        <v>69</v>
      </c>
      <c r="D16" s="195" t="s">
        <v>69</v>
      </c>
      <c r="E16" s="195">
        <v>2</v>
      </c>
      <c r="F16" s="195" t="s">
        <v>69</v>
      </c>
      <c r="G16" s="195" t="s">
        <v>69</v>
      </c>
      <c r="H16" s="195">
        <v>1</v>
      </c>
      <c r="I16" s="195" t="s">
        <v>69</v>
      </c>
      <c r="J16" s="195" t="s">
        <v>69</v>
      </c>
      <c r="K16" s="195" t="s">
        <v>69</v>
      </c>
      <c r="L16" s="195" t="s">
        <v>69</v>
      </c>
      <c r="M16" s="195">
        <v>4</v>
      </c>
    </row>
    <row r="17" spans="1:13" ht="6" customHeight="1" x14ac:dyDescent="0.35"/>
    <row r="18" spans="1:13" ht="20.149999999999999" customHeight="1" x14ac:dyDescent="0.35">
      <c r="A18" s="231" t="s">
        <v>56</v>
      </c>
      <c r="B18" s="232">
        <v>2</v>
      </c>
      <c r="C18" s="232" t="s">
        <v>69</v>
      </c>
      <c r="D18" s="232">
        <v>5</v>
      </c>
      <c r="E18" s="232">
        <v>8</v>
      </c>
      <c r="F18" s="232">
        <v>3</v>
      </c>
      <c r="G18" s="232">
        <v>22</v>
      </c>
      <c r="H18" s="232">
        <v>9</v>
      </c>
      <c r="I18" s="232">
        <v>2</v>
      </c>
      <c r="J18" s="232">
        <v>2</v>
      </c>
      <c r="K18" s="232">
        <v>11</v>
      </c>
      <c r="L18" s="232">
        <v>6</v>
      </c>
      <c r="M18" s="232">
        <v>70</v>
      </c>
    </row>
    <row r="19" spans="1:13" ht="8.15" customHeight="1" x14ac:dyDescent="0.35"/>
  </sheetData>
  <mergeCells count="4">
    <mergeCell ref="A4:M4"/>
    <mergeCell ref="A2:M2"/>
    <mergeCell ref="A11:M11"/>
    <mergeCell ref="A1:M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4"/>
  <sheetViews>
    <sheetView showGridLines="0" workbookViewId="0">
      <pane ySplit="2" topLeftCell="A26" activePane="bottomLeft" state="frozen"/>
      <selection pane="bottomLeft" sqref="A1:J1"/>
    </sheetView>
  </sheetViews>
  <sheetFormatPr baseColWidth="10" defaultColWidth="8.81640625" defaultRowHeight="14.5" x14ac:dyDescent="0.35"/>
  <cols>
    <col min="1" max="2" width="12" customWidth="1"/>
    <col min="3" max="3" width="9" customWidth="1"/>
    <col min="4" max="4" width="18" customWidth="1"/>
    <col min="5" max="5" width="20" customWidth="1"/>
    <col min="6" max="6" width="16" customWidth="1"/>
    <col min="7" max="7" width="9" customWidth="1"/>
    <col min="8" max="8" width="8" customWidth="1"/>
    <col min="9" max="9" width="12" customWidth="1"/>
    <col min="10" max="10" width="14" customWidth="1"/>
  </cols>
  <sheetData>
    <row r="1" spans="1:10" ht="26.15" customHeight="1" x14ac:dyDescent="0.35">
      <c r="A1" s="398" t="s">
        <v>695</v>
      </c>
      <c r="B1" s="339"/>
      <c r="C1" s="339"/>
      <c r="D1" s="339"/>
      <c r="E1" s="339"/>
      <c r="F1" s="339"/>
      <c r="G1" s="339"/>
      <c r="H1" s="339"/>
      <c r="I1" s="339"/>
      <c r="J1" s="339"/>
    </row>
    <row r="2" spans="1:10" ht="18" customHeight="1" x14ac:dyDescent="0.35">
      <c r="A2" s="171" t="s">
        <v>136</v>
      </c>
      <c r="B2" s="171" t="s">
        <v>125</v>
      </c>
      <c r="C2" s="171" t="s">
        <v>317</v>
      </c>
      <c r="D2" s="171" t="s">
        <v>64</v>
      </c>
      <c r="E2" s="171" t="s">
        <v>130</v>
      </c>
      <c r="F2" s="171" t="s">
        <v>671</v>
      </c>
      <c r="G2" s="171" t="s">
        <v>585</v>
      </c>
      <c r="H2" s="171" t="s">
        <v>696</v>
      </c>
      <c r="I2" s="171" t="s">
        <v>697</v>
      </c>
      <c r="J2" s="171" t="s">
        <v>628</v>
      </c>
    </row>
    <row r="3" spans="1:10" ht="15" customHeight="1" x14ac:dyDescent="0.35">
      <c r="A3" s="207" t="s">
        <v>698</v>
      </c>
      <c r="B3" s="206" t="s">
        <v>319</v>
      </c>
      <c r="C3" s="206" t="s">
        <v>318</v>
      </c>
      <c r="D3" s="206" t="s">
        <v>114</v>
      </c>
      <c r="E3" s="206" t="s">
        <v>550</v>
      </c>
      <c r="F3" s="207" t="s">
        <v>694</v>
      </c>
      <c r="G3" s="206">
        <v>2017</v>
      </c>
      <c r="H3" s="206">
        <v>5</v>
      </c>
      <c r="I3" s="206">
        <v>2022</v>
      </c>
      <c r="J3" s="213">
        <v>2023</v>
      </c>
    </row>
    <row r="4" spans="1:10" ht="15" customHeight="1" x14ac:dyDescent="0.35">
      <c r="A4" s="211" t="s">
        <v>699</v>
      </c>
      <c r="B4" s="210" t="s">
        <v>378</v>
      </c>
      <c r="C4" s="210" t="s">
        <v>377</v>
      </c>
      <c r="D4" s="210" t="s">
        <v>119</v>
      </c>
      <c r="E4" s="210" t="s">
        <v>505</v>
      </c>
      <c r="F4" s="211" t="s">
        <v>693</v>
      </c>
      <c r="G4" s="210">
        <v>2019</v>
      </c>
      <c r="H4" s="210">
        <v>3</v>
      </c>
      <c r="I4" s="210">
        <v>2022</v>
      </c>
      <c r="J4" s="213">
        <v>2023</v>
      </c>
    </row>
    <row r="5" spans="1:10" ht="15" customHeight="1" x14ac:dyDescent="0.35">
      <c r="A5" s="207" t="s">
        <v>699</v>
      </c>
      <c r="B5" s="206" t="s">
        <v>188</v>
      </c>
      <c r="C5" s="206" t="s">
        <v>187</v>
      </c>
      <c r="D5" s="206" t="s">
        <v>117</v>
      </c>
      <c r="E5" s="206" t="s">
        <v>537</v>
      </c>
      <c r="F5" s="207" t="s">
        <v>694</v>
      </c>
      <c r="G5" s="206">
        <v>2019</v>
      </c>
      <c r="H5" s="206">
        <v>5</v>
      </c>
      <c r="I5" s="206">
        <v>2024</v>
      </c>
      <c r="J5" s="213">
        <v>2025</v>
      </c>
    </row>
    <row r="6" spans="1:10" ht="15" customHeight="1" x14ac:dyDescent="0.35">
      <c r="A6" s="211" t="s">
        <v>699</v>
      </c>
      <c r="B6" s="210" t="s">
        <v>376</v>
      </c>
      <c r="C6" s="210" t="s">
        <v>375</v>
      </c>
      <c r="D6" s="210" t="s">
        <v>119</v>
      </c>
      <c r="E6" s="210" t="s">
        <v>534</v>
      </c>
      <c r="F6" s="211" t="s">
        <v>694</v>
      </c>
      <c r="G6" s="210">
        <v>2019</v>
      </c>
      <c r="H6" s="210">
        <v>5</v>
      </c>
      <c r="I6" s="210">
        <v>2024</v>
      </c>
      <c r="J6" s="213">
        <v>2025</v>
      </c>
    </row>
    <row r="7" spans="1:10" ht="15" customHeight="1" x14ac:dyDescent="0.35">
      <c r="A7" s="207" t="s">
        <v>699</v>
      </c>
      <c r="B7" s="206" t="s">
        <v>381</v>
      </c>
      <c r="C7" s="206" t="s">
        <v>380</v>
      </c>
      <c r="D7" s="206" t="s">
        <v>119</v>
      </c>
      <c r="E7" s="206" t="s">
        <v>549</v>
      </c>
      <c r="F7" s="207" t="s">
        <v>694</v>
      </c>
      <c r="G7" s="206">
        <v>2019</v>
      </c>
      <c r="H7" s="206">
        <v>5</v>
      </c>
      <c r="I7" s="206">
        <v>2024</v>
      </c>
      <c r="J7" s="213">
        <v>2025</v>
      </c>
    </row>
    <row r="8" spans="1:10" ht="15" customHeight="1" x14ac:dyDescent="0.35">
      <c r="A8" s="211" t="s">
        <v>699</v>
      </c>
      <c r="B8" s="210" t="s">
        <v>467</v>
      </c>
      <c r="C8" s="210" t="s">
        <v>466</v>
      </c>
      <c r="D8" s="210" t="s">
        <v>118</v>
      </c>
      <c r="E8" s="210" t="s">
        <v>541</v>
      </c>
      <c r="F8" s="211" t="s">
        <v>694</v>
      </c>
      <c r="G8" s="210">
        <v>2019</v>
      </c>
      <c r="H8" s="210">
        <v>5</v>
      </c>
      <c r="I8" s="210">
        <v>2024</v>
      </c>
      <c r="J8" s="213">
        <v>2025</v>
      </c>
    </row>
    <row r="9" spans="1:10" ht="15" customHeight="1" x14ac:dyDescent="0.35">
      <c r="A9" s="207" t="s">
        <v>699</v>
      </c>
      <c r="B9" s="206" t="s">
        <v>471</v>
      </c>
      <c r="C9" s="206" t="s">
        <v>470</v>
      </c>
      <c r="D9" s="206" t="s">
        <v>118</v>
      </c>
      <c r="E9" s="206" t="s">
        <v>523</v>
      </c>
      <c r="F9" s="207" t="s">
        <v>694</v>
      </c>
      <c r="G9" s="206">
        <v>2019</v>
      </c>
      <c r="H9" s="206">
        <v>5</v>
      </c>
      <c r="I9" s="206">
        <v>2024</v>
      </c>
      <c r="J9" s="213">
        <v>2025</v>
      </c>
    </row>
    <row r="10" spans="1:10" ht="15" customHeight="1" x14ac:dyDescent="0.35">
      <c r="A10" s="211" t="s">
        <v>698</v>
      </c>
      <c r="B10" s="210" t="s">
        <v>439</v>
      </c>
      <c r="C10" s="210" t="s">
        <v>438</v>
      </c>
      <c r="D10" s="210" t="s">
        <v>116</v>
      </c>
      <c r="E10" s="210" t="s">
        <v>505</v>
      </c>
      <c r="F10" s="211" t="s">
        <v>693</v>
      </c>
      <c r="G10" s="210">
        <v>2022</v>
      </c>
      <c r="H10" s="210">
        <v>3</v>
      </c>
      <c r="I10" s="210">
        <v>2025</v>
      </c>
      <c r="J10" s="213">
        <v>2026</v>
      </c>
    </row>
    <row r="11" spans="1:10" ht="15" customHeight="1" x14ac:dyDescent="0.35">
      <c r="A11" s="207" t="s">
        <v>698</v>
      </c>
      <c r="B11" s="206" t="s">
        <v>444</v>
      </c>
      <c r="C11" s="206" t="s">
        <v>443</v>
      </c>
      <c r="D11" s="206" t="s">
        <v>116</v>
      </c>
      <c r="E11" s="206" t="s">
        <v>505</v>
      </c>
      <c r="F11" s="207" t="s">
        <v>693</v>
      </c>
      <c r="G11" s="206">
        <v>2022</v>
      </c>
      <c r="H11" s="206">
        <v>3</v>
      </c>
      <c r="I11" s="206">
        <v>2025</v>
      </c>
      <c r="J11" s="213">
        <v>2026</v>
      </c>
    </row>
    <row r="12" spans="1:10" ht="15" customHeight="1" x14ac:dyDescent="0.35">
      <c r="A12" s="211" t="s">
        <v>699</v>
      </c>
      <c r="B12" s="210" t="s">
        <v>392</v>
      </c>
      <c r="C12" s="210" t="s">
        <v>391</v>
      </c>
      <c r="D12" s="210" t="s">
        <v>119</v>
      </c>
      <c r="E12" s="210" t="s">
        <v>505</v>
      </c>
      <c r="F12" s="211" t="s">
        <v>693</v>
      </c>
      <c r="G12" s="210">
        <v>2022</v>
      </c>
      <c r="H12" s="210">
        <v>3</v>
      </c>
      <c r="I12" s="210">
        <v>2025</v>
      </c>
      <c r="J12" s="213">
        <v>2026</v>
      </c>
    </row>
    <row r="13" spans="1:10" ht="15" customHeight="1" x14ac:dyDescent="0.35">
      <c r="A13" s="207" t="s">
        <v>699</v>
      </c>
      <c r="B13" s="206" t="s">
        <v>395</v>
      </c>
      <c r="C13" s="206" t="s">
        <v>394</v>
      </c>
      <c r="D13" s="206" t="s">
        <v>119</v>
      </c>
      <c r="E13" s="206" t="s">
        <v>505</v>
      </c>
      <c r="F13" s="207" t="s">
        <v>693</v>
      </c>
      <c r="G13" s="206">
        <v>2022</v>
      </c>
      <c r="H13" s="206">
        <v>3</v>
      </c>
      <c r="I13" s="206">
        <v>2025</v>
      </c>
      <c r="J13" s="213">
        <v>2026</v>
      </c>
    </row>
    <row r="14" spans="1:10" ht="15" customHeight="1" x14ac:dyDescent="0.35">
      <c r="A14" s="211" t="s">
        <v>699</v>
      </c>
      <c r="B14" s="210" t="s">
        <v>400</v>
      </c>
      <c r="C14" s="210" t="s">
        <v>399</v>
      </c>
      <c r="D14" s="210" t="s">
        <v>119</v>
      </c>
      <c r="E14" s="210" t="s">
        <v>505</v>
      </c>
      <c r="F14" s="211" t="s">
        <v>693</v>
      </c>
      <c r="G14" s="210">
        <v>2022</v>
      </c>
      <c r="H14" s="210">
        <v>3</v>
      </c>
      <c r="I14" s="210">
        <v>2025</v>
      </c>
      <c r="J14" s="213">
        <v>2026</v>
      </c>
    </row>
    <row r="15" spans="1:10" ht="15" customHeight="1" x14ac:dyDescent="0.35">
      <c r="A15" s="207" t="s">
        <v>699</v>
      </c>
      <c r="B15" s="206" t="s">
        <v>143</v>
      </c>
      <c r="C15" s="206" t="s">
        <v>142</v>
      </c>
      <c r="D15" s="206" t="s">
        <v>117</v>
      </c>
      <c r="E15" s="206" t="s">
        <v>71</v>
      </c>
      <c r="F15" s="207" t="s">
        <v>141</v>
      </c>
      <c r="G15" s="206">
        <v>2017</v>
      </c>
      <c r="H15" s="206">
        <v>8</v>
      </c>
      <c r="I15" s="206">
        <v>2025</v>
      </c>
      <c r="J15" s="213">
        <v>2026</v>
      </c>
    </row>
    <row r="16" spans="1:10" ht="15" customHeight="1" x14ac:dyDescent="0.35">
      <c r="A16" s="211" t="s">
        <v>699</v>
      </c>
      <c r="B16" s="210" t="s">
        <v>151</v>
      </c>
      <c r="C16" s="210" t="s">
        <v>150</v>
      </c>
      <c r="D16" s="210" t="s">
        <v>117</v>
      </c>
      <c r="E16" s="210" t="s">
        <v>545</v>
      </c>
      <c r="F16" s="211" t="s">
        <v>141</v>
      </c>
      <c r="G16" s="210">
        <v>2017</v>
      </c>
      <c r="H16" s="210">
        <v>8</v>
      </c>
      <c r="I16" s="210">
        <v>2025</v>
      </c>
      <c r="J16" s="213">
        <v>2026</v>
      </c>
    </row>
    <row r="17" spans="1:10" ht="15" customHeight="1" x14ac:dyDescent="0.35">
      <c r="A17" s="207" t="s">
        <v>699</v>
      </c>
      <c r="B17" s="206" t="s">
        <v>460</v>
      </c>
      <c r="C17" s="206" t="s">
        <v>459</v>
      </c>
      <c r="D17" s="206" t="s">
        <v>118</v>
      </c>
      <c r="E17" s="206" t="s">
        <v>120</v>
      </c>
      <c r="F17" s="207" t="s">
        <v>141</v>
      </c>
      <c r="G17" s="206">
        <v>2017</v>
      </c>
      <c r="H17" s="206">
        <v>8</v>
      </c>
      <c r="I17" s="206">
        <v>2025</v>
      </c>
      <c r="J17" s="213">
        <v>2026</v>
      </c>
    </row>
    <row r="18" spans="1:10" ht="15" customHeight="1" x14ac:dyDescent="0.35">
      <c r="A18" s="211" t="s">
        <v>699</v>
      </c>
      <c r="B18" s="210" t="s">
        <v>403</v>
      </c>
      <c r="C18" s="210" t="s">
        <v>402</v>
      </c>
      <c r="D18" s="210" t="s">
        <v>119</v>
      </c>
      <c r="E18" s="210" t="s">
        <v>505</v>
      </c>
      <c r="F18" s="211" t="s">
        <v>693</v>
      </c>
      <c r="G18" s="210">
        <v>2023</v>
      </c>
      <c r="H18" s="210">
        <v>3</v>
      </c>
      <c r="I18" s="210">
        <v>2026</v>
      </c>
      <c r="J18" s="215">
        <v>2027</v>
      </c>
    </row>
    <row r="19" spans="1:10" ht="15" customHeight="1" x14ac:dyDescent="0.35">
      <c r="A19" s="207" t="s">
        <v>699</v>
      </c>
      <c r="B19" s="206" t="s">
        <v>406</v>
      </c>
      <c r="C19" s="206" t="s">
        <v>405</v>
      </c>
      <c r="D19" s="206" t="s">
        <v>119</v>
      </c>
      <c r="E19" s="206" t="s">
        <v>505</v>
      </c>
      <c r="F19" s="207" t="s">
        <v>693</v>
      </c>
      <c r="G19" s="206">
        <v>2023</v>
      </c>
      <c r="H19" s="206">
        <v>3</v>
      </c>
      <c r="I19" s="206">
        <v>2026</v>
      </c>
      <c r="J19" s="215">
        <v>2027</v>
      </c>
    </row>
    <row r="20" spans="1:10" ht="15" customHeight="1" x14ac:dyDescent="0.35">
      <c r="A20" s="211" t="s">
        <v>699</v>
      </c>
      <c r="B20" s="210" t="s">
        <v>185</v>
      </c>
      <c r="C20" s="210" t="s">
        <v>184</v>
      </c>
      <c r="D20" s="210" t="s">
        <v>117</v>
      </c>
      <c r="E20" s="210" t="s">
        <v>68</v>
      </c>
      <c r="F20" s="211" t="s">
        <v>141</v>
      </c>
      <c r="G20" s="210">
        <v>2018</v>
      </c>
      <c r="H20" s="210">
        <v>8</v>
      </c>
      <c r="I20" s="210">
        <v>2026</v>
      </c>
      <c r="J20" s="215">
        <v>2027</v>
      </c>
    </row>
    <row r="21" spans="1:10" ht="15" customHeight="1" x14ac:dyDescent="0.35">
      <c r="A21" s="207" t="s">
        <v>699</v>
      </c>
      <c r="B21" s="206" t="s">
        <v>389</v>
      </c>
      <c r="C21" s="206" t="s">
        <v>388</v>
      </c>
      <c r="D21" s="206" t="s">
        <v>119</v>
      </c>
      <c r="E21" s="206" t="s">
        <v>390</v>
      </c>
      <c r="F21" s="207" t="s">
        <v>694</v>
      </c>
      <c r="G21" s="206">
        <v>2022</v>
      </c>
      <c r="H21" s="206">
        <v>5</v>
      </c>
      <c r="I21" s="206">
        <v>2027</v>
      </c>
      <c r="J21" s="212">
        <v>2028</v>
      </c>
    </row>
    <row r="22" spans="1:10" ht="15" customHeight="1" x14ac:dyDescent="0.35">
      <c r="A22" s="211" t="s">
        <v>699</v>
      </c>
      <c r="B22" s="210" t="s">
        <v>397</v>
      </c>
      <c r="C22" s="210" t="s">
        <v>396</v>
      </c>
      <c r="D22" s="210" t="s">
        <v>119</v>
      </c>
      <c r="E22" s="210" t="s">
        <v>538</v>
      </c>
      <c r="F22" s="211" t="s">
        <v>694</v>
      </c>
      <c r="G22" s="210">
        <v>2022</v>
      </c>
      <c r="H22" s="210">
        <v>5</v>
      </c>
      <c r="I22" s="210">
        <v>2027</v>
      </c>
      <c r="J22" s="212">
        <v>2028</v>
      </c>
    </row>
    <row r="23" spans="1:10" ht="15" customHeight="1" x14ac:dyDescent="0.35">
      <c r="A23" s="207" t="s">
        <v>699</v>
      </c>
      <c r="B23" s="206" t="s">
        <v>408</v>
      </c>
      <c r="C23" s="206" t="s">
        <v>407</v>
      </c>
      <c r="D23" s="206" t="s">
        <v>119</v>
      </c>
      <c r="E23" s="206" t="s">
        <v>505</v>
      </c>
      <c r="F23" s="207" t="s">
        <v>693</v>
      </c>
      <c r="G23" s="206">
        <v>2024</v>
      </c>
      <c r="H23" s="206">
        <v>3</v>
      </c>
      <c r="I23" s="206">
        <v>2027</v>
      </c>
      <c r="J23" s="212">
        <v>2028</v>
      </c>
    </row>
    <row r="24" spans="1:10" ht="15" customHeight="1" x14ac:dyDescent="0.35">
      <c r="A24" s="211" t="s">
        <v>699</v>
      </c>
      <c r="B24" s="210" t="s">
        <v>411</v>
      </c>
      <c r="C24" s="210" t="s">
        <v>410</v>
      </c>
      <c r="D24" s="210" t="s">
        <v>119</v>
      </c>
      <c r="E24" s="210" t="s">
        <v>505</v>
      </c>
      <c r="F24" s="211" t="s">
        <v>693</v>
      </c>
      <c r="G24" s="210">
        <v>2024</v>
      </c>
      <c r="H24" s="210">
        <v>3</v>
      </c>
      <c r="I24" s="210">
        <v>2027</v>
      </c>
      <c r="J24" s="212">
        <v>2028</v>
      </c>
    </row>
    <row r="25" spans="1:10" ht="15" customHeight="1" x14ac:dyDescent="0.35">
      <c r="A25" s="207" t="s">
        <v>699</v>
      </c>
      <c r="B25" s="206" t="s">
        <v>414</v>
      </c>
      <c r="C25" s="206" t="s">
        <v>413</v>
      </c>
      <c r="D25" s="206" t="s">
        <v>119</v>
      </c>
      <c r="E25" s="206" t="s">
        <v>505</v>
      </c>
      <c r="F25" s="207" t="s">
        <v>693</v>
      </c>
      <c r="G25" s="206">
        <v>2024</v>
      </c>
      <c r="H25" s="206">
        <v>3</v>
      </c>
      <c r="I25" s="206">
        <v>2027</v>
      </c>
      <c r="J25" s="212">
        <v>2028</v>
      </c>
    </row>
    <row r="26" spans="1:10" ht="15" customHeight="1" x14ac:dyDescent="0.35">
      <c r="A26" s="211" t="s">
        <v>699</v>
      </c>
      <c r="B26" s="210" t="s">
        <v>417</v>
      </c>
      <c r="C26" s="210" t="s">
        <v>416</v>
      </c>
      <c r="D26" s="210" t="s">
        <v>119</v>
      </c>
      <c r="E26" s="210" t="s">
        <v>505</v>
      </c>
      <c r="F26" s="211" t="s">
        <v>693</v>
      </c>
      <c r="G26" s="210">
        <v>2024</v>
      </c>
      <c r="H26" s="210">
        <v>3</v>
      </c>
      <c r="I26" s="210">
        <v>2027</v>
      </c>
      <c r="J26" s="212">
        <v>2028</v>
      </c>
    </row>
    <row r="27" spans="1:10" ht="15" customHeight="1" x14ac:dyDescent="0.35">
      <c r="A27" s="207" t="s">
        <v>699</v>
      </c>
      <c r="B27" s="206" t="s">
        <v>419</v>
      </c>
      <c r="C27" s="206" t="s">
        <v>418</v>
      </c>
      <c r="D27" s="206" t="s">
        <v>119</v>
      </c>
      <c r="E27" s="206" t="s">
        <v>505</v>
      </c>
      <c r="F27" s="207" t="s">
        <v>693</v>
      </c>
      <c r="G27" s="206">
        <v>2024</v>
      </c>
      <c r="H27" s="206">
        <v>3</v>
      </c>
      <c r="I27" s="206">
        <v>2027</v>
      </c>
      <c r="J27" s="212">
        <v>2028</v>
      </c>
    </row>
    <row r="28" spans="1:10" ht="15" customHeight="1" x14ac:dyDescent="0.35">
      <c r="A28" s="211" t="s">
        <v>699</v>
      </c>
      <c r="B28" s="210" t="s">
        <v>421</v>
      </c>
      <c r="C28" s="210" t="s">
        <v>420</v>
      </c>
      <c r="D28" s="210" t="s">
        <v>119</v>
      </c>
      <c r="E28" s="210" t="s">
        <v>533</v>
      </c>
      <c r="F28" s="211" t="s">
        <v>693</v>
      </c>
      <c r="G28" s="210">
        <v>2024</v>
      </c>
      <c r="H28" s="210">
        <v>3</v>
      </c>
      <c r="I28" s="210">
        <v>2027</v>
      </c>
      <c r="J28" s="212">
        <v>2028</v>
      </c>
    </row>
    <row r="29" spans="1:10" ht="15" customHeight="1" x14ac:dyDescent="0.35">
      <c r="A29" s="207" t="s">
        <v>699</v>
      </c>
      <c r="B29" s="206" t="s">
        <v>191</v>
      </c>
      <c r="C29" s="206" t="s">
        <v>190</v>
      </c>
      <c r="D29" s="206" t="s">
        <v>117</v>
      </c>
      <c r="E29" s="206" t="s">
        <v>192</v>
      </c>
      <c r="F29" s="207" t="s">
        <v>141</v>
      </c>
      <c r="G29" s="206">
        <v>2019</v>
      </c>
      <c r="H29" s="206">
        <v>8</v>
      </c>
      <c r="I29" s="206">
        <v>2027</v>
      </c>
      <c r="J29" s="212">
        <v>2028</v>
      </c>
    </row>
    <row r="30" spans="1:10" ht="15" customHeight="1" x14ac:dyDescent="0.35">
      <c r="A30" s="211" t="s">
        <v>699</v>
      </c>
      <c r="B30" s="210" t="s">
        <v>201</v>
      </c>
      <c r="C30" s="210" t="s">
        <v>200</v>
      </c>
      <c r="D30" s="210" t="s">
        <v>117</v>
      </c>
      <c r="E30" s="210" t="s">
        <v>68</v>
      </c>
      <c r="F30" s="211" t="s">
        <v>141</v>
      </c>
      <c r="G30" s="210">
        <v>2019</v>
      </c>
      <c r="H30" s="210">
        <v>8</v>
      </c>
      <c r="I30" s="210">
        <v>2027</v>
      </c>
      <c r="J30" s="212">
        <v>2028</v>
      </c>
    </row>
    <row r="31" spans="1:10" ht="15" customHeight="1" x14ac:dyDescent="0.35">
      <c r="A31" s="207" t="s">
        <v>699</v>
      </c>
      <c r="B31" s="206" t="s">
        <v>204</v>
      </c>
      <c r="C31" s="206" t="s">
        <v>203</v>
      </c>
      <c r="D31" s="206" t="s">
        <v>117</v>
      </c>
      <c r="E31" s="206" t="s">
        <v>68</v>
      </c>
      <c r="F31" s="207" t="s">
        <v>141</v>
      </c>
      <c r="G31" s="206">
        <v>2019</v>
      </c>
      <c r="H31" s="206">
        <v>8</v>
      </c>
      <c r="I31" s="206">
        <v>2027</v>
      </c>
      <c r="J31" s="212">
        <v>2028</v>
      </c>
    </row>
    <row r="32" spans="1:10" ht="15" customHeight="1" x14ac:dyDescent="0.35">
      <c r="A32" s="211" t="s">
        <v>699</v>
      </c>
      <c r="B32" s="210" t="s">
        <v>206</v>
      </c>
      <c r="C32" s="210" t="s">
        <v>205</v>
      </c>
      <c r="D32" s="210" t="s">
        <v>117</v>
      </c>
      <c r="E32" s="210" t="s">
        <v>548</v>
      </c>
      <c r="F32" s="211" t="s">
        <v>141</v>
      </c>
      <c r="G32" s="210">
        <v>2019</v>
      </c>
      <c r="H32" s="210">
        <v>8</v>
      </c>
      <c r="I32" s="210">
        <v>2027</v>
      </c>
      <c r="J32" s="212">
        <v>2028</v>
      </c>
    </row>
    <row r="33" spans="1:10" ht="15" customHeight="1" x14ac:dyDescent="0.35">
      <c r="A33" s="207" t="s">
        <v>699</v>
      </c>
      <c r="B33" s="206" t="s">
        <v>209</v>
      </c>
      <c r="C33" s="206" t="s">
        <v>208</v>
      </c>
      <c r="D33" s="206" t="s">
        <v>117</v>
      </c>
      <c r="E33" s="206" t="s">
        <v>68</v>
      </c>
      <c r="F33" s="207" t="s">
        <v>141</v>
      </c>
      <c r="G33" s="206">
        <v>2019</v>
      </c>
      <c r="H33" s="206">
        <v>8</v>
      </c>
      <c r="I33" s="206">
        <v>2027</v>
      </c>
      <c r="J33" s="212">
        <v>2028</v>
      </c>
    </row>
    <row r="34" spans="1:10" ht="15" customHeight="1" x14ac:dyDescent="0.35">
      <c r="A34" s="211" t="s">
        <v>699</v>
      </c>
      <c r="B34" s="210" t="s">
        <v>215</v>
      </c>
      <c r="C34" s="210" t="s">
        <v>214</v>
      </c>
      <c r="D34" s="210" t="s">
        <v>117</v>
      </c>
      <c r="E34" s="210" t="s">
        <v>68</v>
      </c>
      <c r="F34" s="211" t="s">
        <v>141</v>
      </c>
      <c r="G34" s="210">
        <v>2019</v>
      </c>
      <c r="H34" s="210">
        <v>8</v>
      </c>
      <c r="I34" s="210">
        <v>2027</v>
      </c>
      <c r="J34" s="212">
        <v>2028</v>
      </c>
    </row>
    <row r="35" spans="1:10" ht="15" customHeight="1" x14ac:dyDescent="0.35">
      <c r="A35" s="207" t="s">
        <v>699</v>
      </c>
      <c r="B35" s="206" t="s">
        <v>218</v>
      </c>
      <c r="C35" s="206" t="s">
        <v>217</v>
      </c>
      <c r="D35" s="206" t="s">
        <v>117</v>
      </c>
      <c r="E35" s="206" t="s">
        <v>68</v>
      </c>
      <c r="F35" s="207" t="s">
        <v>141</v>
      </c>
      <c r="G35" s="206">
        <v>2019</v>
      </c>
      <c r="H35" s="206">
        <v>8</v>
      </c>
      <c r="I35" s="206">
        <v>2027</v>
      </c>
      <c r="J35" s="212">
        <v>2028</v>
      </c>
    </row>
    <row r="36" spans="1:10" ht="15" customHeight="1" x14ac:dyDescent="0.35">
      <c r="A36" s="211" t="s">
        <v>699</v>
      </c>
      <c r="B36" s="210" t="s">
        <v>221</v>
      </c>
      <c r="C36" s="210" t="s">
        <v>220</v>
      </c>
      <c r="D36" s="210" t="s">
        <v>117</v>
      </c>
      <c r="E36" s="210" t="s">
        <v>68</v>
      </c>
      <c r="F36" s="211" t="s">
        <v>141</v>
      </c>
      <c r="G36" s="210">
        <v>2019</v>
      </c>
      <c r="H36" s="210">
        <v>8</v>
      </c>
      <c r="I36" s="210">
        <v>2027</v>
      </c>
      <c r="J36" s="212">
        <v>2028</v>
      </c>
    </row>
    <row r="37" spans="1:10" ht="15" customHeight="1" x14ac:dyDescent="0.35">
      <c r="A37" s="207" t="s">
        <v>699</v>
      </c>
      <c r="B37" s="206" t="s">
        <v>224</v>
      </c>
      <c r="C37" s="206" t="s">
        <v>223</v>
      </c>
      <c r="D37" s="206" t="s">
        <v>117</v>
      </c>
      <c r="E37" s="206" t="s">
        <v>68</v>
      </c>
      <c r="F37" s="207" t="s">
        <v>141</v>
      </c>
      <c r="G37" s="206">
        <v>2019</v>
      </c>
      <c r="H37" s="206">
        <v>8</v>
      </c>
      <c r="I37" s="206">
        <v>2027</v>
      </c>
      <c r="J37" s="212">
        <v>2028</v>
      </c>
    </row>
    <row r="38" spans="1:10" ht="15" customHeight="1" x14ac:dyDescent="0.35">
      <c r="A38" s="211" t="s">
        <v>699</v>
      </c>
      <c r="B38" s="210" t="s">
        <v>229</v>
      </c>
      <c r="C38" s="210" t="s">
        <v>228</v>
      </c>
      <c r="D38" s="210" t="s">
        <v>117</v>
      </c>
      <c r="E38" s="210" t="s">
        <v>513</v>
      </c>
      <c r="F38" s="211" t="s">
        <v>141</v>
      </c>
      <c r="G38" s="210">
        <v>2019</v>
      </c>
      <c r="H38" s="210">
        <v>8</v>
      </c>
      <c r="I38" s="210">
        <v>2027</v>
      </c>
      <c r="J38" s="212">
        <v>2028</v>
      </c>
    </row>
    <row r="39" spans="1:10" ht="15" customHeight="1" x14ac:dyDescent="0.35">
      <c r="A39" s="207" t="s">
        <v>699</v>
      </c>
      <c r="B39" s="206" t="s">
        <v>232</v>
      </c>
      <c r="C39" s="206" t="s">
        <v>231</v>
      </c>
      <c r="D39" s="206" t="s">
        <v>117</v>
      </c>
      <c r="E39" s="206" t="s">
        <v>68</v>
      </c>
      <c r="F39" s="207" t="s">
        <v>141</v>
      </c>
      <c r="G39" s="206">
        <v>2019</v>
      </c>
      <c r="H39" s="206">
        <v>8</v>
      </c>
      <c r="I39" s="206">
        <v>2027</v>
      </c>
      <c r="J39" s="212">
        <v>2028</v>
      </c>
    </row>
    <row r="40" spans="1:10" ht="15" customHeight="1" x14ac:dyDescent="0.35">
      <c r="A40" s="211" t="s">
        <v>699</v>
      </c>
      <c r="B40" s="210" t="s">
        <v>238</v>
      </c>
      <c r="C40" s="210" t="s">
        <v>237</v>
      </c>
      <c r="D40" s="210" t="s">
        <v>117</v>
      </c>
      <c r="E40" s="210" t="s">
        <v>71</v>
      </c>
      <c r="F40" s="211" t="s">
        <v>141</v>
      </c>
      <c r="G40" s="210">
        <v>2019</v>
      </c>
      <c r="H40" s="210">
        <v>8</v>
      </c>
      <c r="I40" s="210">
        <v>2027</v>
      </c>
      <c r="J40" s="212">
        <v>2028</v>
      </c>
    </row>
    <row r="41" spans="1:10" ht="15" customHeight="1" x14ac:dyDescent="0.35">
      <c r="A41" s="207" t="s">
        <v>699</v>
      </c>
      <c r="B41" s="206" t="s">
        <v>241</v>
      </c>
      <c r="C41" s="206" t="s">
        <v>240</v>
      </c>
      <c r="D41" s="206" t="s">
        <v>117</v>
      </c>
      <c r="E41" s="206" t="s">
        <v>68</v>
      </c>
      <c r="F41" s="207" t="s">
        <v>141</v>
      </c>
      <c r="G41" s="206">
        <v>2019</v>
      </c>
      <c r="H41" s="206">
        <v>8</v>
      </c>
      <c r="I41" s="206">
        <v>2027</v>
      </c>
      <c r="J41" s="212">
        <v>2028</v>
      </c>
    </row>
    <row r="42" spans="1:10" ht="15" customHeight="1" x14ac:dyDescent="0.35">
      <c r="A42" s="211" t="s">
        <v>699</v>
      </c>
      <c r="B42" s="210" t="s">
        <v>464</v>
      </c>
      <c r="C42" s="210" t="s">
        <v>463</v>
      </c>
      <c r="D42" s="210" t="s">
        <v>118</v>
      </c>
      <c r="E42" s="210" t="s">
        <v>513</v>
      </c>
      <c r="F42" s="211" t="s">
        <v>141</v>
      </c>
      <c r="G42" s="210">
        <v>2019</v>
      </c>
      <c r="H42" s="210">
        <v>8</v>
      </c>
      <c r="I42" s="210">
        <v>2027</v>
      </c>
      <c r="J42" s="212">
        <v>2028</v>
      </c>
    </row>
    <row r="43" spans="1:10" ht="15" customHeight="1" x14ac:dyDescent="0.35">
      <c r="A43" s="207" t="s">
        <v>698</v>
      </c>
      <c r="B43" s="206" t="s">
        <v>447</v>
      </c>
      <c r="C43" s="206" t="s">
        <v>446</v>
      </c>
      <c r="D43" s="206" t="s">
        <v>116</v>
      </c>
      <c r="E43" s="206" t="s">
        <v>390</v>
      </c>
      <c r="F43" s="207" t="s">
        <v>694</v>
      </c>
      <c r="G43" s="206">
        <v>2023</v>
      </c>
      <c r="H43" s="206">
        <v>5</v>
      </c>
      <c r="I43" s="206">
        <v>2028</v>
      </c>
      <c r="J43" s="209">
        <v>2029</v>
      </c>
    </row>
    <row r="44" spans="1:10" ht="15" customHeight="1" x14ac:dyDescent="0.35">
      <c r="A44" s="211" t="s">
        <v>699</v>
      </c>
      <c r="B44" s="210" t="s">
        <v>275</v>
      </c>
      <c r="C44" s="210" t="s">
        <v>274</v>
      </c>
      <c r="D44" s="210" t="s">
        <v>117</v>
      </c>
      <c r="E44" s="210" t="s">
        <v>546</v>
      </c>
      <c r="F44" s="211" t="s">
        <v>694</v>
      </c>
      <c r="G44" s="210">
        <v>2023</v>
      </c>
      <c r="H44" s="210">
        <v>5</v>
      </c>
      <c r="I44" s="210">
        <v>2028</v>
      </c>
      <c r="J44" s="209">
        <v>2029</v>
      </c>
    </row>
    <row r="45" spans="1:10" ht="15" customHeight="1" x14ac:dyDescent="0.35">
      <c r="A45" s="207" t="s">
        <v>699</v>
      </c>
      <c r="B45" s="206" t="s">
        <v>473</v>
      </c>
      <c r="C45" s="206" t="s">
        <v>142</v>
      </c>
      <c r="D45" s="206" t="s">
        <v>118</v>
      </c>
      <c r="E45" s="206" t="s">
        <v>523</v>
      </c>
      <c r="F45" s="207" t="s">
        <v>694</v>
      </c>
      <c r="G45" s="206">
        <v>2023</v>
      </c>
      <c r="H45" s="206">
        <v>5</v>
      </c>
      <c r="I45" s="206">
        <v>2028</v>
      </c>
      <c r="J45" s="209">
        <v>2029</v>
      </c>
    </row>
    <row r="46" spans="1:10" ht="15" customHeight="1" x14ac:dyDescent="0.35">
      <c r="A46" s="211" t="s">
        <v>699</v>
      </c>
      <c r="B46" s="210" t="s">
        <v>475</v>
      </c>
      <c r="C46" s="210" t="s">
        <v>142</v>
      </c>
      <c r="D46" s="210" t="s">
        <v>118</v>
      </c>
      <c r="E46" s="210" t="s">
        <v>523</v>
      </c>
      <c r="F46" s="211" t="s">
        <v>694</v>
      </c>
      <c r="G46" s="210">
        <v>2023</v>
      </c>
      <c r="H46" s="210">
        <v>5</v>
      </c>
      <c r="I46" s="210">
        <v>2028</v>
      </c>
      <c r="J46" s="209">
        <v>2029</v>
      </c>
    </row>
    <row r="47" spans="1:10" ht="15" customHeight="1" x14ac:dyDescent="0.35">
      <c r="A47" s="207" t="s">
        <v>699</v>
      </c>
      <c r="B47" s="206" t="s">
        <v>423</v>
      </c>
      <c r="C47" s="206" t="s">
        <v>422</v>
      </c>
      <c r="D47" s="206" t="s">
        <v>119</v>
      </c>
      <c r="E47" s="206" t="s">
        <v>520</v>
      </c>
      <c r="F47" s="207" t="s">
        <v>693</v>
      </c>
      <c r="G47" s="206">
        <v>2025</v>
      </c>
      <c r="H47" s="206">
        <v>3</v>
      </c>
      <c r="I47" s="206">
        <v>2028</v>
      </c>
      <c r="J47" s="209">
        <v>2029</v>
      </c>
    </row>
    <row r="48" spans="1:10" ht="15" customHeight="1" x14ac:dyDescent="0.35">
      <c r="A48" s="211" t="s">
        <v>699</v>
      </c>
      <c r="B48" s="210" t="s">
        <v>427</v>
      </c>
      <c r="C48" s="210" t="s">
        <v>426</v>
      </c>
      <c r="D48" s="210" t="s">
        <v>119</v>
      </c>
      <c r="E48" s="210" t="s">
        <v>505</v>
      </c>
      <c r="F48" s="211" t="s">
        <v>693</v>
      </c>
      <c r="G48" s="210">
        <v>2025</v>
      </c>
      <c r="H48" s="210">
        <v>3</v>
      </c>
      <c r="I48" s="210">
        <v>2028</v>
      </c>
      <c r="J48" s="209">
        <v>2029</v>
      </c>
    </row>
    <row r="49" spans="1:10" ht="15" customHeight="1" x14ac:dyDescent="0.35">
      <c r="A49" s="207" t="s">
        <v>699</v>
      </c>
      <c r="B49" s="206" t="s">
        <v>430</v>
      </c>
      <c r="C49" s="206" t="s">
        <v>429</v>
      </c>
      <c r="D49" s="206" t="s">
        <v>119</v>
      </c>
      <c r="E49" s="206" t="s">
        <v>520</v>
      </c>
      <c r="F49" s="207" t="s">
        <v>693</v>
      </c>
      <c r="G49" s="206">
        <v>2025</v>
      </c>
      <c r="H49" s="206">
        <v>3</v>
      </c>
      <c r="I49" s="206">
        <v>2028</v>
      </c>
      <c r="J49" s="209">
        <v>2029</v>
      </c>
    </row>
    <row r="50" spans="1:10" ht="15" customHeight="1" x14ac:dyDescent="0.35">
      <c r="A50" s="211" t="s">
        <v>699</v>
      </c>
      <c r="B50" s="210" t="s">
        <v>432</v>
      </c>
      <c r="C50" s="210" t="s">
        <v>431</v>
      </c>
      <c r="D50" s="210" t="s">
        <v>119</v>
      </c>
      <c r="E50" s="210" t="s">
        <v>520</v>
      </c>
      <c r="F50" s="211" t="s">
        <v>693</v>
      </c>
      <c r="G50" s="210">
        <v>2025</v>
      </c>
      <c r="H50" s="210">
        <v>3</v>
      </c>
      <c r="I50" s="210">
        <v>2028</v>
      </c>
      <c r="J50" s="209">
        <v>2029</v>
      </c>
    </row>
    <row r="51" spans="1:10" ht="15" customHeight="1" x14ac:dyDescent="0.35">
      <c r="A51" s="207" t="s">
        <v>699</v>
      </c>
      <c r="B51" s="206" t="s">
        <v>434</v>
      </c>
      <c r="C51" s="206" t="s">
        <v>433</v>
      </c>
      <c r="D51" s="206" t="s">
        <v>119</v>
      </c>
      <c r="E51" s="206" t="s">
        <v>505</v>
      </c>
      <c r="F51" s="207" t="s">
        <v>693</v>
      </c>
      <c r="G51" s="206">
        <v>2025</v>
      </c>
      <c r="H51" s="206">
        <v>3</v>
      </c>
      <c r="I51" s="206">
        <v>2028</v>
      </c>
      <c r="J51" s="209">
        <v>2029</v>
      </c>
    </row>
    <row r="52" spans="1:10" ht="15" customHeight="1" x14ac:dyDescent="0.35">
      <c r="A52" s="211" t="s">
        <v>699</v>
      </c>
      <c r="B52" s="210" t="s">
        <v>290</v>
      </c>
      <c r="C52" s="210" t="s">
        <v>289</v>
      </c>
      <c r="D52" s="210" t="s">
        <v>117</v>
      </c>
      <c r="E52" s="210" t="s">
        <v>540</v>
      </c>
      <c r="F52" s="211" t="s">
        <v>694</v>
      </c>
      <c r="G52" s="210">
        <v>2024</v>
      </c>
      <c r="H52" s="210">
        <v>5</v>
      </c>
      <c r="I52" s="210">
        <v>2029</v>
      </c>
      <c r="J52" s="209">
        <v>2030</v>
      </c>
    </row>
    <row r="53" spans="1:10" ht="15" customHeight="1" x14ac:dyDescent="0.35">
      <c r="A53" s="207" t="s">
        <v>699</v>
      </c>
      <c r="B53" s="206" t="s">
        <v>477</v>
      </c>
      <c r="C53" s="206" t="s">
        <v>476</v>
      </c>
      <c r="D53" s="206" t="s">
        <v>118</v>
      </c>
      <c r="E53" s="206" t="s">
        <v>544</v>
      </c>
      <c r="F53" s="207" t="s">
        <v>694</v>
      </c>
      <c r="G53" s="206">
        <v>2024</v>
      </c>
      <c r="H53" s="206">
        <v>5</v>
      </c>
      <c r="I53" s="206">
        <v>2029</v>
      </c>
      <c r="J53" s="209">
        <v>2030</v>
      </c>
    </row>
    <row r="54" spans="1:10" ht="15" customHeight="1" x14ac:dyDescent="0.35">
      <c r="A54" s="211" t="s">
        <v>699</v>
      </c>
      <c r="B54" s="210" t="s">
        <v>306</v>
      </c>
      <c r="C54" s="210" t="s">
        <v>305</v>
      </c>
      <c r="D54" s="210" t="s">
        <v>117</v>
      </c>
      <c r="E54" s="210" t="s">
        <v>308</v>
      </c>
      <c r="F54" s="211" t="s">
        <v>694</v>
      </c>
      <c r="G54" s="210">
        <v>2025</v>
      </c>
      <c r="H54" s="210">
        <v>5</v>
      </c>
      <c r="I54" s="210">
        <v>2030</v>
      </c>
      <c r="J54" s="209">
        <v>2031</v>
      </c>
    </row>
    <row r="55" spans="1:10" ht="15" customHeight="1" x14ac:dyDescent="0.35">
      <c r="A55" s="207" t="s">
        <v>699</v>
      </c>
      <c r="B55" s="206" t="s">
        <v>480</v>
      </c>
      <c r="C55" s="206" t="s">
        <v>479</v>
      </c>
      <c r="D55" s="206" t="s">
        <v>118</v>
      </c>
      <c r="E55" s="206" t="s">
        <v>536</v>
      </c>
      <c r="F55" s="207" t="s">
        <v>694</v>
      </c>
      <c r="G55" s="206">
        <v>2025</v>
      </c>
      <c r="H55" s="206">
        <v>5</v>
      </c>
      <c r="I55" s="206">
        <v>2030</v>
      </c>
      <c r="J55" s="209">
        <v>2031</v>
      </c>
    </row>
    <row r="56" spans="1:10" ht="15" customHeight="1" x14ac:dyDescent="0.35">
      <c r="A56" s="211" t="s">
        <v>699</v>
      </c>
      <c r="B56" s="210" t="s">
        <v>244</v>
      </c>
      <c r="C56" s="210" t="s">
        <v>243</v>
      </c>
      <c r="D56" s="210" t="s">
        <v>117</v>
      </c>
      <c r="E56" s="210" t="s">
        <v>68</v>
      </c>
      <c r="F56" s="211" t="s">
        <v>141</v>
      </c>
      <c r="G56" s="210">
        <v>2023</v>
      </c>
      <c r="H56" s="210">
        <v>8</v>
      </c>
      <c r="I56" s="210">
        <v>2031</v>
      </c>
      <c r="J56" s="209">
        <v>2032</v>
      </c>
    </row>
    <row r="57" spans="1:10" ht="15" customHeight="1" x14ac:dyDescent="0.35">
      <c r="A57" s="207" t="s">
        <v>699</v>
      </c>
      <c r="B57" s="206" t="s">
        <v>248</v>
      </c>
      <c r="C57" s="206" t="s">
        <v>247</v>
      </c>
      <c r="D57" s="206" t="s">
        <v>117</v>
      </c>
      <c r="E57" s="206" t="s">
        <v>516</v>
      </c>
      <c r="F57" s="207" t="s">
        <v>141</v>
      </c>
      <c r="G57" s="206">
        <v>2023</v>
      </c>
      <c r="H57" s="206">
        <v>8</v>
      </c>
      <c r="I57" s="206">
        <v>2031</v>
      </c>
      <c r="J57" s="209">
        <v>2032</v>
      </c>
    </row>
    <row r="58" spans="1:10" ht="15" customHeight="1" x14ac:dyDescent="0.35">
      <c r="A58" s="211" t="s">
        <v>699</v>
      </c>
      <c r="B58" s="210" t="s">
        <v>252</v>
      </c>
      <c r="C58" s="210" t="s">
        <v>251</v>
      </c>
      <c r="D58" s="210" t="s">
        <v>117</v>
      </c>
      <c r="E58" s="210" t="s">
        <v>68</v>
      </c>
      <c r="F58" s="211" t="s">
        <v>141</v>
      </c>
      <c r="G58" s="210">
        <v>2023</v>
      </c>
      <c r="H58" s="210">
        <v>8</v>
      </c>
      <c r="I58" s="210">
        <v>2031</v>
      </c>
      <c r="J58" s="209">
        <v>2032</v>
      </c>
    </row>
    <row r="59" spans="1:10" ht="15" customHeight="1" x14ac:dyDescent="0.35">
      <c r="A59" s="207" t="s">
        <v>699</v>
      </c>
      <c r="B59" s="206" t="s">
        <v>255</v>
      </c>
      <c r="C59" s="206" t="s">
        <v>254</v>
      </c>
      <c r="D59" s="206" t="s">
        <v>117</v>
      </c>
      <c r="E59" s="206" t="s">
        <v>68</v>
      </c>
      <c r="F59" s="207" t="s">
        <v>141</v>
      </c>
      <c r="G59" s="206">
        <v>2023</v>
      </c>
      <c r="H59" s="206">
        <v>8</v>
      </c>
      <c r="I59" s="206">
        <v>2031</v>
      </c>
      <c r="J59" s="209">
        <v>2032</v>
      </c>
    </row>
    <row r="60" spans="1:10" ht="15" customHeight="1" x14ac:dyDescent="0.35">
      <c r="A60" s="211" t="s">
        <v>699</v>
      </c>
      <c r="B60" s="210" t="s">
        <v>258</v>
      </c>
      <c r="C60" s="210" t="s">
        <v>257</v>
      </c>
      <c r="D60" s="210" t="s">
        <v>117</v>
      </c>
      <c r="E60" s="210" t="s">
        <v>68</v>
      </c>
      <c r="F60" s="211" t="s">
        <v>141</v>
      </c>
      <c r="G60" s="210">
        <v>2023</v>
      </c>
      <c r="H60" s="210">
        <v>8</v>
      </c>
      <c r="I60" s="210">
        <v>2031</v>
      </c>
      <c r="J60" s="209">
        <v>2032</v>
      </c>
    </row>
    <row r="61" spans="1:10" ht="15" customHeight="1" x14ac:dyDescent="0.35">
      <c r="A61" s="207" t="s">
        <v>699</v>
      </c>
      <c r="B61" s="206" t="s">
        <v>261</v>
      </c>
      <c r="C61" s="206" t="s">
        <v>260</v>
      </c>
      <c r="D61" s="206" t="s">
        <v>117</v>
      </c>
      <c r="E61" s="206" t="s">
        <v>68</v>
      </c>
      <c r="F61" s="207" t="s">
        <v>141</v>
      </c>
      <c r="G61" s="206">
        <v>2023</v>
      </c>
      <c r="H61" s="206">
        <v>8</v>
      </c>
      <c r="I61" s="206">
        <v>2031</v>
      </c>
      <c r="J61" s="209">
        <v>2032</v>
      </c>
    </row>
    <row r="62" spans="1:10" ht="15" customHeight="1" x14ac:dyDescent="0.35">
      <c r="A62" s="211" t="s">
        <v>699</v>
      </c>
      <c r="B62" s="210" t="s">
        <v>264</v>
      </c>
      <c r="C62" s="210" t="s">
        <v>263</v>
      </c>
      <c r="D62" s="210" t="s">
        <v>117</v>
      </c>
      <c r="E62" s="210" t="s">
        <v>68</v>
      </c>
      <c r="F62" s="211" t="s">
        <v>141</v>
      </c>
      <c r="G62" s="210">
        <v>2023</v>
      </c>
      <c r="H62" s="210">
        <v>8</v>
      </c>
      <c r="I62" s="210">
        <v>2031</v>
      </c>
      <c r="J62" s="209">
        <v>2032</v>
      </c>
    </row>
    <row r="63" spans="1:10" ht="15" customHeight="1" x14ac:dyDescent="0.35">
      <c r="A63" s="207" t="s">
        <v>699</v>
      </c>
      <c r="B63" s="206" t="s">
        <v>267</v>
      </c>
      <c r="C63" s="206" t="s">
        <v>266</v>
      </c>
      <c r="D63" s="206" t="s">
        <v>117</v>
      </c>
      <c r="E63" s="206" t="s">
        <v>68</v>
      </c>
      <c r="F63" s="207" t="s">
        <v>141</v>
      </c>
      <c r="G63" s="206">
        <v>2023</v>
      </c>
      <c r="H63" s="206">
        <v>8</v>
      </c>
      <c r="I63" s="206">
        <v>2031</v>
      </c>
      <c r="J63" s="209">
        <v>2032</v>
      </c>
    </row>
    <row r="64" spans="1:10" ht="15" customHeight="1" x14ac:dyDescent="0.35">
      <c r="A64" s="211" t="s">
        <v>699</v>
      </c>
      <c r="B64" s="210" t="s">
        <v>271</v>
      </c>
      <c r="C64" s="210" t="s">
        <v>270</v>
      </c>
      <c r="D64" s="210" t="s">
        <v>117</v>
      </c>
      <c r="E64" s="210" t="s">
        <v>68</v>
      </c>
      <c r="F64" s="211" t="s">
        <v>141</v>
      </c>
      <c r="G64" s="210">
        <v>2023</v>
      </c>
      <c r="H64" s="210">
        <v>8</v>
      </c>
      <c r="I64" s="210">
        <v>2031</v>
      </c>
      <c r="J64" s="209">
        <v>2032</v>
      </c>
    </row>
    <row r="65" spans="1:10" ht="15" customHeight="1" x14ac:dyDescent="0.35">
      <c r="A65" s="207" t="s">
        <v>699</v>
      </c>
      <c r="B65" s="206" t="s">
        <v>279</v>
      </c>
      <c r="C65" s="206" t="s">
        <v>278</v>
      </c>
      <c r="D65" s="206" t="s">
        <v>117</v>
      </c>
      <c r="E65" s="206" t="s">
        <v>516</v>
      </c>
      <c r="F65" s="207" t="s">
        <v>141</v>
      </c>
      <c r="G65" s="206">
        <v>2023</v>
      </c>
      <c r="H65" s="206">
        <v>8</v>
      </c>
      <c r="I65" s="206">
        <v>2031</v>
      </c>
      <c r="J65" s="209">
        <v>2032</v>
      </c>
    </row>
    <row r="66" spans="1:10" ht="15" customHeight="1" x14ac:dyDescent="0.35">
      <c r="A66" s="211" t="s">
        <v>699</v>
      </c>
      <c r="B66" s="210" t="s">
        <v>301</v>
      </c>
      <c r="C66" s="210" t="s">
        <v>142</v>
      </c>
      <c r="D66" s="210" t="s">
        <v>117</v>
      </c>
      <c r="E66" s="210" t="s">
        <v>68</v>
      </c>
      <c r="F66" s="211" t="s">
        <v>141</v>
      </c>
      <c r="G66" s="210">
        <v>2023</v>
      </c>
      <c r="H66" s="210">
        <v>8</v>
      </c>
      <c r="I66" s="210">
        <v>2031</v>
      </c>
      <c r="J66" s="209">
        <v>2032</v>
      </c>
    </row>
    <row r="67" spans="1:10" ht="15" customHeight="1" x14ac:dyDescent="0.35">
      <c r="A67" s="207" t="s">
        <v>699</v>
      </c>
      <c r="B67" s="206" t="s">
        <v>282</v>
      </c>
      <c r="C67" s="206" t="s">
        <v>281</v>
      </c>
      <c r="D67" s="206" t="s">
        <v>117</v>
      </c>
      <c r="E67" s="206" t="s">
        <v>516</v>
      </c>
      <c r="F67" s="207" t="s">
        <v>141</v>
      </c>
      <c r="G67" s="206">
        <v>2024</v>
      </c>
      <c r="H67" s="206">
        <v>8</v>
      </c>
      <c r="I67" s="206">
        <v>2032</v>
      </c>
      <c r="J67" s="209">
        <v>2033</v>
      </c>
    </row>
    <row r="68" spans="1:10" ht="15" customHeight="1" x14ac:dyDescent="0.35">
      <c r="A68" s="211" t="s">
        <v>699</v>
      </c>
      <c r="B68" s="210" t="s">
        <v>284</v>
      </c>
      <c r="C68" s="210" t="s">
        <v>283</v>
      </c>
      <c r="D68" s="210" t="s">
        <v>117</v>
      </c>
      <c r="E68" s="210" t="s">
        <v>513</v>
      </c>
      <c r="F68" s="211" t="s">
        <v>141</v>
      </c>
      <c r="G68" s="210">
        <v>2024</v>
      </c>
      <c r="H68" s="210">
        <v>8</v>
      </c>
      <c r="I68" s="210">
        <v>2032</v>
      </c>
      <c r="J68" s="209">
        <v>2033</v>
      </c>
    </row>
    <row r="69" spans="1:10" ht="15" customHeight="1" x14ac:dyDescent="0.35">
      <c r="A69" s="207" t="s">
        <v>699</v>
      </c>
      <c r="B69" s="206" t="s">
        <v>287</v>
      </c>
      <c r="C69" s="206" t="s">
        <v>286</v>
      </c>
      <c r="D69" s="206" t="s">
        <v>117</v>
      </c>
      <c r="E69" s="206" t="s">
        <v>192</v>
      </c>
      <c r="F69" s="207" t="s">
        <v>141</v>
      </c>
      <c r="G69" s="206">
        <v>2024</v>
      </c>
      <c r="H69" s="206">
        <v>8</v>
      </c>
      <c r="I69" s="206">
        <v>2032</v>
      </c>
      <c r="J69" s="209">
        <v>2033</v>
      </c>
    </row>
    <row r="70" spans="1:10" ht="15" customHeight="1" x14ac:dyDescent="0.35">
      <c r="A70" s="211" t="s">
        <v>699</v>
      </c>
      <c r="B70" s="210" t="s">
        <v>293</v>
      </c>
      <c r="C70" s="210" t="s">
        <v>292</v>
      </c>
      <c r="D70" s="210" t="s">
        <v>117</v>
      </c>
      <c r="E70" s="210" t="s">
        <v>192</v>
      </c>
      <c r="F70" s="211" t="s">
        <v>141</v>
      </c>
      <c r="G70" s="210">
        <v>2024</v>
      </c>
      <c r="H70" s="210">
        <v>8</v>
      </c>
      <c r="I70" s="210">
        <v>2032</v>
      </c>
      <c r="J70" s="209">
        <v>2033</v>
      </c>
    </row>
    <row r="71" spans="1:10" ht="15" customHeight="1" x14ac:dyDescent="0.35">
      <c r="A71" s="207" t="s">
        <v>699</v>
      </c>
      <c r="B71" s="206" t="s">
        <v>296</v>
      </c>
      <c r="C71" s="206" t="s">
        <v>295</v>
      </c>
      <c r="D71" s="206" t="s">
        <v>117</v>
      </c>
      <c r="E71" s="206" t="s">
        <v>513</v>
      </c>
      <c r="F71" s="207" t="s">
        <v>141</v>
      </c>
      <c r="G71" s="206">
        <v>2024</v>
      </c>
      <c r="H71" s="206">
        <v>8</v>
      </c>
      <c r="I71" s="206">
        <v>2032</v>
      </c>
      <c r="J71" s="209">
        <v>2033</v>
      </c>
    </row>
    <row r="72" spans="1:10" ht="15" customHeight="1" x14ac:dyDescent="0.35">
      <c r="A72" s="211" t="s">
        <v>699</v>
      </c>
      <c r="B72" s="210" t="s">
        <v>299</v>
      </c>
      <c r="C72" s="210" t="s">
        <v>298</v>
      </c>
      <c r="D72" s="210" t="s">
        <v>117</v>
      </c>
      <c r="E72" s="210" t="s">
        <v>192</v>
      </c>
      <c r="F72" s="211" t="s">
        <v>141</v>
      </c>
      <c r="G72" s="210">
        <v>2024</v>
      </c>
      <c r="H72" s="210">
        <v>8</v>
      </c>
      <c r="I72" s="210">
        <v>2032</v>
      </c>
      <c r="J72" s="209">
        <v>2033</v>
      </c>
    </row>
    <row r="74" spans="1:10" ht="18" customHeight="1" x14ac:dyDescent="0.35">
      <c r="A74" s="221" t="s">
        <v>700</v>
      </c>
      <c r="B74" s="213" t="s">
        <v>701</v>
      </c>
      <c r="C74" s="215" t="s">
        <v>678</v>
      </c>
      <c r="D74" s="212" t="s">
        <v>702</v>
      </c>
      <c r="E74" s="209" t="s">
        <v>703</v>
      </c>
    </row>
  </sheetData>
  <autoFilter ref="A2:J72" xr:uid="{00000000-0009-0000-0000-000007000000}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showGridLines="0" workbookViewId="0">
      <selection sqref="A1:D1"/>
    </sheetView>
  </sheetViews>
  <sheetFormatPr baseColWidth="10" defaultColWidth="8.7265625" defaultRowHeight="14.5" x14ac:dyDescent="0.35"/>
  <cols>
    <col min="1" max="1" width="8" customWidth="1"/>
    <col min="2" max="2" width="14" customWidth="1"/>
    <col min="3" max="3" width="12" customWidth="1"/>
    <col min="4" max="4" width="16" customWidth="1"/>
    <col min="5" max="5" width="10" customWidth="1"/>
  </cols>
  <sheetData>
    <row r="1" spans="1:5" x14ac:dyDescent="0.35">
      <c r="A1" s="402" t="s">
        <v>704</v>
      </c>
      <c r="B1" s="339"/>
      <c r="C1" s="339"/>
      <c r="D1" s="339"/>
    </row>
    <row r="2" spans="1:5" x14ac:dyDescent="0.35">
      <c r="A2" s="9" t="s">
        <v>705</v>
      </c>
    </row>
    <row r="3" spans="1:5" x14ac:dyDescent="0.35">
      <c r="A3" s="10" t="s">
        <v>128</v>
      </c>
      <c r="B3" s="10" t="s">
        <v>379</v>
      </c>
      <c r="C3" s="10" t="s">
        <v>706</v>
      </c>
      <c r="D3" s="10" t="s">
        <v>707</v>
      </c>
      <c r="E3" s="10" t="s">
        <v>66</v>
      </c>
    </row>
    <row r="4" spans="1:5" x14ac:dyDescent="0.35">
      <c r="A4" s="11">
        <v>2024</v>
      </c>
      <c r="B4" s="11">
        <f>COUNTIFS(Datos!$R$3:$R$111,2024,Datos!$B$3:$B$111,"Minería",Datos!$O$3:$O$111,"UTIM")</f>
        <v>0</v>
      </c>
      <c r="C4" s="11">
        <f>COUNTIFS(Datos!$R$3:$R$111,2024,Datos!$B$3:$B$111,"Petróleo",Datos!$O$3:$O$111,"UTIM")</f>
        <v>0</v>
      </c>
      <c r="D4" s="11">
        <f>COUNTIFS(Datos!$R$3:$R$111,2024,Datos!$B$3:$B$111,"BackUp",Datos!$O$3:$O$111,"UTIM")+COUNTIFS(Datos!$R$3:$R$111,2024,Datos!$B$3:$B$111,"Disponible",Datos!$O$3:$O$111,"UTIM")+COUNTIFS(Datos!$R$3:$R$111,2024,Datos!$B$3:$B$111,"OOD",Datos!$O$3:$O$111,"UTIM")</f>
        <v>0</v>
      </c>
      <c r="E4" s="11">
        <f t="shared" ref="E4:E15" si="0">B4+C4+D4</f>
        <v>0</v>
      </c>
    </row>
    <row r="5" spans="1:5" x14ac:dyDescent="0.35">
      <c r="A5" s="11">
        <v>2025</v>
      </c>
      <c r="B5" s="11">
        <f>COUNTIFS(Datos!$R$3:$R$111,2025,Datos!$B$3:$B$111,"Minería",Datos!$O$3:$O$111,"UTIM")</f>
        <v>0</v>
      </c>
      <c r="C5" s="11">
        <f>COUNTIFS(Datos!$R$3:$R$111,2025,Datos!$B$3:$B$111,"Petróleo",Datos!$O$3:$O$111,"UTIM")</f>
        <v>1</v>
      </c>
      <c r="D5" s="11">
        <f>COUNTIFS(Datos!$R$3:$R$111,2025,Datos!$B$3:$B$111,"BackUp",Datos!$O$3:$O$111,"UTIM")+COUNTIFS(Datos!$R$3:$R$111,2025,Datos!$B$3:$B$111,"Disponible",Datos!$O$3:$O$111,"UTIM")+COUNTIFS(Datos!$R$3:$R$111,2025,Datos!$B$3:$B$111,"OOD",Datos!$O$3:$O$111,"UTIM")</f>
        <v>0</v>
      </c>
      <c r="E5" s="11">
        <f t="shared" si="0"/>
        <v>1</v>
      </c>
    </row>
    <row r="6" spans="1:5" x14ac:dyDescent="0.35">
      <c r="A6" s="11">
        <v>2026</v>
      </c>
      <c r="B6" s="11">
        <f>COUNTIFS(Datos!$R$3:$R$111,2026,Datos!$B$3:$B$111,"Minería",Datos!$O$3:$O$111,"UTIM")</f>
        <v>6</v>
      </c>
      <c r="C6" s="11">
        <f>COUNTIFS(Datos!$R$3:$R$111,2026,Datos!$B$3:$B$111,"Petróleo",Datos!$O$3:$O$111,"UTIM")</f>
        <v>1</v>
      </c>
      <c r="D6" s="11">
        <f>COUNTIFS(Datos!$R$3:$R$111,2026,Datos!$B$3:$B$111,"BackUp",Datos!$O$3:$O$111,"UTIM")+COUNTIFS(Datos!$R$3:$R$111,2026,Datos!$B$3:$B$111,"Disponible",Datos!$O$3:$O$111,"UTIM")+COUNTIFS(Datos!$R$3:$R$111,2026,Datos!$B$3:$B$111,"OOD",Datos!$O$3:$O$111,"UTIM")</f>
        <v>0</v>
      </c>
      <c r="E6" s="11">
        <f t="shared" si="0"/>
        <v>7</v>
      </c>
    </row>
    <row r="7" spans="1:5" x14ac:dyDescent="0.35">
      <c r="A7" s="11">
        <v>2027</v>
      </c>
      <c r="B7" s="11">
        <f>COUNTIFS(Datos!$R$3:$R$111,2027,Datos!$B$3:$B$111,"Minería",Datos!$O$3:$O$111,"UTIM")</f>
        <v>4</v>
      </c>
      <c r="C7" s="11">
        <f>COUNTIFS(Datos!$R$3:$R$111,2027,Datos!$B$3:$B$111,"Petróleo",Datos!$O$3:$O$111,"UTIM")</f>
        <v>1</v>
      </c>
      <c r="D7" s="11">
        <f>COUNTIFS(Datos!$R$3:$R$111,2027,Datos!$B$3:$B$111,"BackUp",Datos!$O$3:$O$111,"UTIM")+COUNTIFS(Datos!$R$3:$R$111,2027,Datos!$B$3:$B$111,"Disponible",Datos!$O$3:$O$111,"UTIM")+COUNTIFS(Datos!$R$3:$R$111,2027,Datos!$B$3:$B$111,"OOD",Datos!$O$3:$O$111,"UTIM")</f>
        <v>0</v>
      </c>
      <c r="E7" s="11">
        <f t="shared" si="0"/>
        <v>5</v>
      </c>
    </row>
    <row r="8" spans="1:5" x14ac:dyDescent="0.35">
      <c r="A8" s="11">
        <v>2028</v>
      </c>
      <c r="B8" s="11">
        <f>COUNTIFS(Datos!$R$3:$R$111,2028,Datos!$B$3:$B$111,"Minería",Datos!$O$3:$O$111,"UTIM")</f>
        <v>7</v>
      </c>
      <c r="C8" s="11">
        <f>COUNTIFS(Datos!$R$3:$R$111,2028,Datos!$B$3:$B$111,"Petróleo",Datos!$O$3:$O$111,"UTIM")</f>
        <v>14</v>
      </c>
      <c r="D8" s="11">
        <f>COUNTIFS(Datos!$R$3:$R$111,2028,Datos!$B$3:$B$111,"BackUp",Datos!$O$3:$O$111,"UTIM")+COUNTIFS(Datos!$R$3:$R$111,2028,Datos!$B$3:$B$111,"Disponible",Datos!$O$3:$O$111,"UTIM")+COUNTIFS(Datos!$R$3:$R$111,2028,Datos!$B$3:$B$111,"OOD",Datos!$O$3:$O$111,"UTIM")</f>
        <v>8</v>
      </c>
      <c r="E8" s="11">
        <f t="shared" si="0"/>
        <v>29</v>
      </c>
    </row>
    <row r="9" spans="1:5" x14ac:dyDescent="0.35">
      <c r="A9" s="11">
        <v>2029</v>
      </c>
      <c r="B9" s="11">
        <f>COUNTIFS(Datos!$R$3:$R$111,2029,Datos!$B$3:$B$111,"Minería",Datos!$O$3:$O$111,"UTIM")</f>
        <v>6</v>
      </c>
      <c r="C9" s="11">
        <f>COUNTIFS(Datos!$R$3:$R$111,2029,Datos!$B$3:$B$111,"Petróleo",Datos!$O$3:$O$111,"UTIM")</f>
        <v>0</v>
      </c>
      <c r="D9" s="11">
        <f>COUNTIFS(Datos!$R$3:$R$111,2029,Datos!$B$3:$B$111,"BackUp",Datos!$O$3:$O$111,"UTIM")+COUNTIFS(Datos!$R$3:$R$111,2029,Datos!$B$3:$B$111,"Disponible",Datos!$O$3:$O$111,"UTIM")+COUNTIFS(Datos!$R$3:$R$111,2029,Datos!$B$3:$B$111,"OOD",Datos!$O$3:$O$111,"UTIM")</f>
        <v>1</v>
      </c>
      <c r="E9" s="11">
        <f t="shared" si="0"/>
        <v>7</v>
      </c>
    </row>
    <row r="10" spans="1:5" x14ac:dyDescent="0.35">
      <c r="A10" s="11">
        <v>2030</v>
      </c>
      <c r="B10" s="11">
        <f>COUNTIFS(Datos!$R$3:$R$111,2030,Datos!$B$3:$B$111,"Minería",Datos!$O$3:$O$111,"UTIM")</f>
        <v>0</v>
      </c>
      <c r="C10" s="11">
        <f>COUNTIFS(Datos!$R$3:$R$111,2030,Datos!$B$3:$B$111,"Petróleo",Datos!$O$3:$O$111,"UTIM")</f>
        <v>3</v>
      </c>
      <c r="D10" s="11">
        <f>COUNTIFS(Datos!$R$3:$R$111,2030,Datos!$B$3:$B$111,"BackUp",Datos!$O$3:$O$111,"UTIM")+COUNTIFS(Datos!$R$3:$R$111,2030,Datos!$B$3:$B$111,"Disponible",Datos!$O$3:$O$111,"UTIM")+COUNTIFS(Datos!$R$3:$R$111,2030,Datos!$B$3:$B$111,"OOD",Datos!$O$3:$O$111,"UTIM")</f>
        <v>3</v>
      </c>
      <c r="E10" s="11">
        <f t="shared" si="0"/>
        <v>6</v>
      </c>
    </row>
    <row r="11" spans="1:5" x14ac:dyDescent="0.35">
      <c r="A11" s="11">
        <v>2031</v>
      </c>
      <c r="B11" s="11">
        <f>COUNTIFS(Datos!$R$3:$R$111,2031,Datos!$B$3:$B$111,"Minería",Datos!$O$3:$O$111,"UTIM")</f>
        <v>0</v>
      </c>
      <c r="C11" s="11">
        <f>COUNTIFS(Datos!$R$3:$R$111,2031,Datos!$B$3:$B$111,"Petróleo",Datos!$O$3:$O$111,"UTIM")</f>
        <v>0</v>
      </c>
      <c r="D11" s="11">
        <f>COUNTIFS(Datos!$R$3:$R$111,2031,Datos!$B$3:$B$111,"BackUp",Datos!$O$3:$O$111,"UTIM")+COUNTIFS(Datos!$R$3:$R$111,2031,Datos!$B$3:$B$111,"Disponible",Datos!$O$3:$O$111,"UTIM")+COUNTIFS(Datos!$R$3:$R$111,2031,Datos!$B$3:$B$111,"OOD",Datos!$O$3:$O$111,"UTIM")</f>
        <v>0</v>
      </c>
      <c r="E11" s="11">
        <f t="shared" si="0"/>
        <v>0</v>
      </c>
    </row>
    <row r="12" spans="1:5" x14ac:dyDescent="0.35">
      <c r="A12" s="11">
        <v>2032</v>
      </c>
      <c r="B12" s="11">
        <f>COUNTIFS(Datos!$R$3:$R$111,2032,Datos!$B$3:$B$111,"Minería",Datos!$O$3:$O$111,"UTIM")</f>
        <v>0</v>
      </c>
      <c r="C12" s="11">
        <f>COUNTIFS(Datos!$R$3:$R$111,2032,Datos!$B$3:$B$111,"Petróleo",Datos!$O$3:$O$111,"UTIM")</f>
        <v>12</v>
      </c>
      <c r="D12" s="11">
        <f>COUNTIFS(Datos!$R$3:$R$111,2032,Datos!$B$3:$B$111,"BackUp",Datos!$O$3:$O$111,"UTIM")+COUNTIFS(Datos!$R$3:$R$111,2032,Datos!$B$3:$B$111,"Disponible",Datos!$O$3:$O$111,"UTIM")+COUNTIFS(Datos!$R$3:$R$111,2032,Datos!$B$3:$B$111,"OOD",Datos!$O$3:$O$111,"UTIM")</f>
        <v>0</v>
      </c>
      <c r="E12" s="11">
        <f t="shared" si="0"/>
        <v>12</v>
      </c>
    </row>
    <row r="13" spans="1:5" x14ac:dyDescent="0.35">
      <c r="A13" s="11">
        <v>2033</v>
      </c>
      <c r="B13" s="11">
        <f>COUNTIFS(Datos!$R$3:$R$111,2033,Datos!$B$3:$B$111,"Minería",Datos!$O$3:$O$111,"UTIM")</f>
        <v>0</v>
      </c>
      <c r="C13" s="11">
        <f>COUNTIFS(Datos!$R$3:$R$111,2033,Datos!$B$3:$B$111,"Petróleo",Datos!$O$3:$O$111,"UTIM")</f>
        <v>3</v>
      </c>
      <c r="D13" s="11">
        <f>COUNTIFS(Datos!$R$3:$R$111,2033,Datos!$B$3:$B$111,"BackUp",Datos!$O$3:$O$111,"UTIM")+COUNTIFS(Datos!$R$3:$R$111,2033,Datos!$B$3:$B$111,"Disponible",Datos!$O$3:$O$111,"UTIM")+COUNTIFS(Datos!$R$3:$R$111,2033,Datos!$B$3:$B$111,"OOD",Datos!$O$3:$O$111,"UTIM")</f>
        <v>1</v>
      </c>
      <c r="E13" s="11">
        <f t="shared" si="0"/>
        <v>4</v>
      </c>
    </row>
    <row r="14" spans="1:5" x14ac:dyDescent="0.35">
      <c r="A14" s="11">
        <v>2034</v>
      </c>
      <c r="B14" s="11">
        <f>COUNTIFS(Datos!$R$3:$R$111,2034,Datos!$B$3:$B$111,"Minería",Datos!$O$3:$O$111,"UTIM")</f>
        <v>0</v>
      </c>
      <c r="C14" s="11">
        <f>COUNTIFS(Datos!$R$3:$R$111,2034,Datos!$B$3:$B$111,"Petróleo",Datos!$O$3:$O$111,"UTIM")</f>
        <v>0</v>
      </c>
      <c r="D14" s="11">
        <f>COUNTIFS(Datos!$R$3:$R$111,2034,Datos!$B$3:$B$111,"BackUp",Datos!$O$3:$O$111,"UTIM")+COUNTIFS(Datos!$R$3:$R$111,2034,Datos!$B$3:$B$111,"Disponible",Datos!$O$3:$O$111,"UTIM")+COUNTIFS(Datos!$R$3:$R$111,2034,Datos!$B$3:$B$111,"OOD",Datos!$O$3:$O$111,"UTIM")</f>
        <v>1</v>
      </c>
      <c r="E14" s="11">
        <f t="shared" si="0"/>
        <v>1</v>
      </c>
    </row>
    <row r="15" spans="1:5" x14ac:dyDescent="0.35">
      <c r="A15" s="11">
        <v>2035</v>
      </c>
      <c r="B15" s="11">
        <f>COUNTIFS(Datos!$R$3:$R$111,2035,Datos!$B$3:$B$111,"Minería",Datos!$O$3:$O$111,"UTIM")</f>
        <v>0</v>
      </c>
      <c r="C15" s="11">
        <f>COUNTIFS(Datos!$R$3:$R$111,2035,Datos!$B$3:$B$111,"Petróleo",Datos!$O$3:$O$111,"UTIM")</f>
        <v>0</v>
      </c>
      <c r="D15" s="11">
        <f>COUNTIFS(Datos!$R$3:$R$111,2035,Datos!$B$3:$B$111,"BackUp",Datos!$O$3:$O$111,"UTIM")+COUNTIFS(Datos!$R$3:$R$111,2035,Datos!$B$3:$B$111,"Disponible",Datos!$O$3:$O$111,"UTIM")+COUNTIFS(Datos!$R$3:$R$111,2035,Datos!$B$3:$B$111,"OOD",Datos!$O$3:$O$111,"UTIM")</f>
        <v>1</v>
      </c>
      <c r="E15" s="11">
        <f t="shared" si="0"/>
        <v>1</v>
      </c>
    </row>
    <row r="16" spans="1:5" x14ac:dyDescent="0.35">
      <c r="A16" s="12" t="s">
        <v>708</v>
      </c>
    </row>
    <row r="17" spans="1:5" x14ac:dyDescent="0.35">
      <c r="A17" s="13" t="s">
        <v>128</v>
      </c>
      <c r="B17" s="13" t="s">
        <v>379</v>
      </c>
      <c r="C17" s="13" t="s">
        <v>706</v>
      </c>
      <c r="D17" s="13" t="s">
        <v>707</v>
      </c>
      <c r="E17" s="13" t="s">
        <v>66</v>
      </c>
    </row>
    <row r="18" spans="1:5" x14ac:dyDescent="0.35">
      <c r="A18" s="11">
        <v>2024</v>
      </c>
      <c r="B18" s="11">
        <f>COUNTIFS(Datos!$S$3:$S$111,2024,Datos!$B$3:$B$111,"Minería",Datos!$O$3:$O$111,"UTIM")</f>
        <v>0</v>
      </c>
      <c r="C18" s="11">
        <f>COUNTIFS(Datos!$S$3:$S$111,2024,Datos!$B$3:$B$111,"Petróleo",Datos!$O$3:$O$111,"UTIM")</f>
        <v>0</v>
      </c>
      <c r="D18" s="11">
        <f>COUNTIFS(Datos!$S$3:$S$111,2024,Datos!$B$3:$B$111,"BackUp",Datos!$O$3:$O$111,"UTIM")+COUNTIFS(Datos!$S$3:$S$111,2024,Datos!$B$3:$B$111,"Disponible",Datos!$O$3:$O$111,"UTIM")+COUNTIFS(Datos!$S$3:$S$111,2024,Datos!$B$3:$B$111,"OOD",Datos!$O$3:$O$111,"UTIM")</f>
        <v>0</v>
      </c>
      <c r="E18" s="11">
        <f t="shared" ref="E18:E29" si="1">B18+C18+D18</f>
        <v>0</v>
      </c>
    </row>
    <row r="19" spans="1:5" x14ac:dyDescent="0.35">
      <c r="A19" s="11">
        <v>2025</v>
      </c>
      <c r="B19" s="11">
        <f>COUNTIFS(Datos!$S$3:$S$111,2025,Datos!$B$3:$B$111,"Minería",Datos!$O$3:$O$111,"UTIM")</f>
        <v>0</v>
      </c>
      <c r="C19" s="11">
        <f>COUNTIFS(Datos!$S$3:$S$111,2025,Datos!$B$3:$B$111,"Petróleo",Datos!$O$3:$O$111,"UTIM")</f>
        <v>1</v>
      </c>
      <c r="D19" s="11">
        <f>COUNTIFS(Datos!$S$3:$S$111,2025,Datos!$B$3:$B$111,"BackUp",Datos!$O$3:$O$111,"UTIM")+COUNTIFS(Datos!$S$3:$S$111,2025,Datos!$B$3:$B$111,"Disponible",Datos!$O$3:$O$111,"UTIM")+COUNTIFS(Datos!$S$3:$S$111,2025,Datos!$B$3:$B$111,"OOD",Datos!$O$3:$O$111,"UTIM")</f>
        <v>0</v>
      </c>
      <c r="E19" s="11">
        <f t="shared" si="1"/>
        <v>1</v>
      </c>
    </row>
    <row r="20" spans="1:5" x14ac:dyDescent="0.35">
      <c r="A20" s="11">
        <v>2026</v>
      </c>
      <c r="B20" s="11">
        <f>COUNTIFS(Datos!$S$3:$S$111,2026,Datos!$B$3:$B$111,"Minería",Datos!$O$3:$O$111,"UTIM")</f>
        <v>0</v>
      </c>
      <c r="C20" s="11">
        <f>COUNTIFS(Datos!$S$3:$S$111,2026,Datos!$B$3:$B$111,"Petróleo",Datos!$O$3:$O$111,"UTIM")</f>
        <v>1</v>
      </c>
      <c r="D20" s="11">
        <f>COUNTIFS(Datos!$S$3:$S$111,2026,Datos!$B$3:$B$111,"BackUp",Datos!$O$3:$O$111,"UTIM")+COUNTIFS(Datos!$S$3:$S$111,2026,Datos!$B$3:$B$111,"Disponible",Datos!$O$3:$O$111,"UTIM")+COUNTIFS(Datos!$S$3:$S$111,2026,Datos!$B$3:$B$111,"OOD",Datos!$O$3:$O$111,"UTIM")</f>
        <v>0</v>
      </c>
      <c r="E20" s="11">
        <f t="shared" si="1"/>
        <v>1</v>
      </c>
    </row>
    <row r="21" spans="1:5" x14ac:dyDescent="0.35">
      <c r="A21" s="11">
        <v>2027</v>
      </c>
      <c r="B21" s="11">
        <f>COUNTIFS(Datos!$S$3:$S$111,2027,Datos!$B$3:$B$111,"Minería",Datos!$O$3:$O$111,"UTIM")</f>
        <v>0</v>
      </c>
      <c r="C21" s="11">
        <f>COUNTIFS(Datos!$S$3:$S$111,2027,Datos!$B$3:$B$111,"Petróleo",Datos!$O$3:$O$111,"UTIM")</f>
        <v>1</v>
      </c>
      <c r="D21" s="11">
        <f>COUNTIFS(Datos!$S$3:$S$111,2027,Datos!$B$3:$B$111,"BackUp",Datos!$O$3:$O$111,"UTIM")+COUNTIFS(Datos!$S$3:$S$111,2027,Datos!$B$3:$B$111,"Disponible",Datos!$O$3:$O$111,"UTIM")+COUNTIFS(Datos!$S$3:$S$111,2027,Datos!$B$3:$B$111,"OOD",Datos!$O$3:$O$111,"UTIM")</f>
        <v>0</v>
      </c>
      <c r="E21" s="11">
        <f t="shared" si="1"/>
        <v>1</v>
      </c>
    </row>
    <row r="22" spans="1:5" x14ac:dyDescent="0.35">
      <c r="A22" s="11">
        <v>2028</v>
      </c>
      <c r="B22" s="11">
        <f>COUNTIFS(Datos!$S$3:$S$111,2028,Datos!$B$3:$B$111,"Minería",Datos!$O$3:$O$111,"UTIM")</f>
        <v>4</v>
      </c>
      <c r="C22" s="11">
        <f>COUNTIFS(Datos!$S$3:$S$111,2028,Datos!$B$3:$B$111,"Petróleo",Datos!$O$3:$O$111,"UTIM")</f>
        <v>14</v>
      </c>
      <c r="D22" s="11">
        <f>COUNTIFS(Datos!$S$3:$S$111,2028,Datos!$B$3:$B$111,"BackUp",Datos!$O$3:$O$111,"UTIM")+COUNTIFS(Datos!$S$3:$S$111,2028,Datos!$B$3:$B$111,"Disponible",Datos!$O$3:$O$111,"UTIM")+COUNTIFS(Datos!$S$3:$S$111,2028,Datos!$B$3:$B$111,"OOD",Datos!$O$3:$O$111,"UTIM")</f>
        <v>8</v>
      </c>
      <c r="E22" s="11">
        <f t="shared" si="1"/>
        <v>26</v>
      </c>
    </row>
    <row r="23" spans="1:5" x14ac:dyDescent="0.35">
      <c r="A23" s="11">
        <v>2029</v>
      </c>
      <c r="B23" s="11">
        <f>COUNTIFS(Datos!$S$3:$S$111,2029,Datos!$B$3:$B$111,"Minería",Datos!$O$3:$O$111,"UTIM")</f>
        <v>0</v>
      </c>
      <c r="C23" s="11">
        <f>COUNTIFS(Datos!$S$3:$S$111,2029,Datos!$B$3:$B$111,"Petróleo",Datos!$O$3:$O$111,"UTIM")</f>
        <v>0</v>
      </c>
      <c r="D23" s="11">
        <f>COUNTIFS(Datos!$S$3:$S$111,2029,Datos!$B$3:$B$111,"BackUp",Datos!$O$3:$O$111,"UTIM")+COUNTIFS(Datos!$S$3:$S$111,2029,Datos!$B$3:$B$111,"Disponible",Datos!$O$3:$O$111,"UTIM")+COUNTIFS(Datos!$S$3:$S$111,2029,Datos!$B$3:$B$111,"OOD",Datos!$O$3:$O$111,"UTIM")</f>
        <v>1</v>
      </c>
      <c r="E23" s="11">
        <f t="shared" si="1"/>
        <v>1</v>
      </c>
    </row>
    <row r="24" spans="1:5" x14ac:dyDescent="0.35">
      <c r="A24" s="11">
        <v>2030</v>
      </c>
      <c r="B24" s="11">
        <f>COUNTIFS(Datos!$S$3:$S$111,2030,Datos!$B$3:$B$111,"Minería",Datos!$O$3:$O$111,"UTIM")</f>
        <v>0</v>
      </c>
      <c r="C24" s="11">
        <f>COUNTIFS(Datos!$S$3:$S$111,2030,Datos!$B$3:$B$111,"Petróleo",Datos!$O$3:$O$111,"UTIM")</f>
        <v>3</v>
      </c>
      <c r="D24" s="11">
        <f>COUNTIFS(Datos!$S$3:$S$111,2030,Datos!$B$3:$B$111,"BackUp",Datos!$O$3:$O$111,"UTIM")+COUNTIFS(Datos!$S$3:$S$111,2030,Datos!$B$3:$B$111,"Disponible",Datos!$O$3:$O$111,"UTIM")+COUNTIFS(Datos!$S$3:$S$111,2030,Datos!$B$3:$B$111,"OOD",Datos!$O$3:$O$111,"UTIM")</f>
        <v>3</v>
      </c>
      <c r="E24" s="11">
        <f t="shared" si="1"/>
        <v>6</v>
      </c>
    </row>
    <row r="25" spans="1:5" x14ac:dyDescent="0.35">
      <c r="A25" s="11">
        <v>2031</v>
      </c>
      <c r="B25" s="11">
        <f>COUNTIFS(Datos!$S$3:$S$111,2031,Datos!$B$3:$B$111,"Minería",Datos!$O$3:$O$111,"UTIM")</f>
        <v>6</v>
      </c>
      <c r="C25" s="11">
        <f>COUNTIFS(Datos!$S$3:$S$111,2031,Datos!$B$3:$B$111,"Petróleo",Datos!$O$3:$O$111,"UTIM")</f>
        <v>0</v>
      </c>
      <c r="D25" s="11">
        <f>COUNTIFS(Datos!$S$3:$S$111,2031,Datos!$B$3:$B$111,"BackUp",Datos!$O$3:$O$111,"UTIM")+COUNTIFS(Datos!$S$3:$S$111,2031,Datos!$B$3:$B$111,"Disponible",Datos!$O$3:$O$111,"UTIM")+COUNTIFS(Datos!$S$3:$S$111,2031,Datos!$B$3:$B$111,"OOD",Datos!$O$3:$O$111,"UTIM")</f>
        <v>0</v>
      </c>
      <c r="E25" s="11">
        <f t="shared" si="1"/>
        <v>6</v>
      </c>
    </row>
    <row r="26" spans="1:5" x14ac:dyDescent="0.35">
      <c r="A26" s="11">
        <v>2032</v>
      </c>
      <c r="B26" s="11">
        <f>COUNTIFS(Datos!$S$3:$S$111,2032,Datos!$B$3:$B$111,"Minería",Datos!$O$3:$O$111,"UTIM")</f>
        <v>4</v>
      </c>
      <c r="C26" s="11">
        <f>COUNTIFS(Datos!$S$3:$S$111,2032,Datos!$B$3:$B$111,"Petróleo",Datos!$O$3:$O$111,"UTIM")</f>
        <v>12</v>
      </c>
      <c r="D26" s="11">
        <f>COUNTIFS(Datos!$S$3:$S$111,2032,Datos!$B$3:$B$111,"BackUp",Datos!$O$3:$O$111,"UTIM")+COUNTIFS(Datos!$S$3:$S$111,2032,Datos!$B$3:$B$111,"Disponible",Datos!$O$3:$O$111,"UTIM")+COUNTIFS(Datos!$S$3:$S$111,2032,Datos!$B$3:$B$111,"OOD",Datos!$O$3:$O$111,"UTIM")</f>
        <v>0</v>
      </c>
      <c r="E26" s="11">
        <f t="shared" si="1"/>
        <v>16</v>
      </c>
    </row>
    <row r="27" spans="1:5" x14ac:dyDescent="0.35">
      <c r="A27" s="11">
        <v>2033</v>
      </c>
      <c r="B27" s="11">
        <f>COUNTIFS(Datos!$S$3:$S$111,2033,Datos!$B$3:$B$111,"Minería",Datos!$O$3:$O$111,"UTIM")</f>
        <v>7</v>
      </c>
      <c r="C27" s="11">
        <f>COUNTIFS(Datos!$S$3:$S$111,2033,Datos!$B$3:$B$111,"Petróleo",Datos!$O$3:$O$111,"UTIM")</f>
        <v>3</v>
      </c>
      <c r="D27" s="11">
        <f>COUNTIFS(Datos!$S$3:$S$111,2033,Datos!$B$3:$B$111,"BackUp",Datos!$O$3:$O$111,"UTIM")+COUNTIFS(Datos!$S$3:$S$111,2033,Datos!$B$3:$B$111,"Disponible",Datos!$O$3:$O$111,"UTIM")+COUNTIFS(Datos!$S$3:$S$111,2033,Datos!$B$3:$B$111,"OOD",Datos!$O$3:$O$111,"UTIM")</f>
        <v>1</v>
      </c>
      <c r="E27" s="11">
        <f t="shared" si="1"/>
        <v>11</v>
      </c>
    </row>
    <row r="28" spans="1:5" x14ac:dyDescent="0.35">
      <c r="A28" s="11">
        <v>2034</v>
      </c>
      <c r="B28" s="11">
        <f>COUNTIFS(Datos!$S$3:$S$111,2034,Datos!$B$3:$B$111,"Minería",Datos!$O$3:$O$111,"UTIM")</f>
        <v>6</v>
      </c>
      <c r="C28" s="11">
        <f>COUNTIFS(Datos!$S$3:$S$111,2034,Datos!$B$3:$B$111,"Petróleo",Datos!$O$3:$O$111,"UTIM")</f>
        <v>0</v>
      </c>
      <c r="D28" s="11">
        <f>COUNTIFS(Datos!$S$3:$S$111,2034,Datos!$B$3:$B$111,"BackUp",Datos!$O$3:$O$111,"UTIM")+COUNTIFS(Datos!$S$3:$S$111,2034,Datos!$B$3:$B$111,"Disponible",Datos!$O$3:$O$111,"UTIM")+COUNTIFS(Datos!$S$3:$S$111,2034,Datos!$B$3:$B$111,"OOD",Datos!$O$3:$O$111,"UTIM")</f>
        <v>1</v>
      </c>
      <c r="E28" s="11">
        <f t="shared" si="1"/>
        <v>7</v>
      </c>
    </row>
    <row r="29" spans="1:5" x14ac:dyDescent="0.35">
      <c r="A29" s="11">
        <v>2035</v>
      </c>
      <c r="B29" s="11">
        <f>COUNTIFS(Datos!$S$3:$S$111,2035,Datos!$B$3:$B$111,"Minería",Datos!$O$3:$O$111,"UTIM")</f>
        <v>0</v>
      </c>
      <c r="C29" s="11">
        <f>COUNTIFS(Datos!$S$3:$S$111,2035,Datos!$B$3:$B$111,"Petróleo",Datos!$O$3:$O$111,"UTIM")</f>
        <v>0</v>
      </c>
      <c r="D29" s="11">
        <f>COUNTIFS(Datos!$S$3:$S$111,2035,Datos!$B$3:$B$111,"BackUp",Datos!$O$3:$O$111,"UTIM")+COUNTIFS(Datos!$S$3:$S$111,2035,Datos!$B$3:$B$111,"Disponible",Datos!$O$3:$O$111,"UTIM")+COUNTIFS(Datos!$S$3:$S$111,2035,Datos!$B$3:$B$111,"OOD",Datos!$O$3:$O$111,"UTIM")</f>
        <v>1</v>
      </c>
      <c r="E29" s="11">
        <f t="shared" si="1"/>
        <v>1</v>
      </c>
    </row>
    <row r="30" spans="1:5" x14ac:dyDescent="0.35">
      <c r="A30" s="9" t="s">
        <v>709</v>
      </c>
    </row>
    <row r="31" spans="1:5" x14ac:dyDescent="0.35">
      <c r="A31" s="10" t="s">
        <v>128</v>
      </c>
      <c r="B31" s="10" t="s">
        <v>710</v>
      </c>
      <c r="C31" s="10" t="s">
        <v>711</v>
      </c>
    </row>
    <row r="32" spans="1:5" x14ac:dyDescent="0.35">
      <c r="A32" s="11">
        <v>2024</v>
      </c>
      <c r="B32" s="11">
        <f>COUNTIFS(Datos!$R$3:$R$111,2024,Datos!$O$3:$O$111,"UTIM")</f>
        <v>0</v>
      </c>
      <c r="C32" s="11">
        <f>COUNTIFS(Datos!$S$3:$S$111,2024,Datos!$O$3:$O$111,"UTIM")</f>
        <v>0</v>
      </c>
    </row>
    <row r="33" spans="1:3" x14ac:dyDescent="0.35">
      <c r="A33" s="11">
        <v>2025</v>
      </c>
      <c r="B33" s="11">
        <f>COUNTIFS(Datos!$R$3:$R$111,2025,Datos!$O$3:$O$111,"UTIM")</f>
        <v>1</v>
      </c>
      <c r="C33" s="11">
        <f>COUNTIFS(Datos!$S$3:$S$111,2025,Datos!$O$3:$O$111,"UTIM")</f>
        <v>1</v>
      </c>
    </row>
    <row r="34" spans="1:3" x14ac:dyDescent="0.35">
      <c r="A34" s="11">
        <v>2026</v>
      </c>
      <c r="B34" s="11">
        <f>COUNTIFS(Datos!$R$3:$R$111,2026,Datos!$O$3:$O$111,"UTIM")</f>
        <v>7</v>
      </c>
      <c r="C34" s="11">
        <f>COUNTIFS(Datos!$S$3:$S$111,2026,Datos!$O$3:$O$111,"UTIM")</f>
        <v>1</v>
      </c>
    </row>
    <row r="35" spans="1:3" x14ac:dyDescent="0.35">
      <c r="A35" s="11">
        <v>2027</v>
      </c>
      <c r="B35" s="11">
        <f>COUNTIFS(Datos!$R$3:$R$111,2027,Datos!$O$3:$O$111,"UTIM")</f>
        <v>5</v>
      </c>
      <c r="C35" s="11">
        <f>COUNTIFS(Datos!$S$3:$S$111,2027,Datos!$O$3:$O$111,"UTIM")</f>
        <v>1</v>
      </c>
    </row>
    <row r="36" spans="1:3" x14ac:dyDescent="0.35">
      <c r="A36" s="11">
        <v>2028</v>
      </c>
      <c r="B36" s="11">
        <f>COUNTIFS(Datos!$R$3:$R$111,2028,Datos!$O$3:$O$111,"UTIM")</f>
        <v>29</v>
      </c>
      <c r="C36" s="11">
        <f>COUNTIFS(Datos!$S$3:$S$111,2028,Datos!$O$3:$O$111,"UTIM")</f>
        <v>26</v>
      </c>
    </row>
    <row r="37" spans="1:3" x14ac:dyDescent="0.35">
      <c r="A37" s="11">
        <v>2029</v>
      </c>
      <c r="B37" s="11">
        <f>COUNTIFS(Datos!$R$3:$R$111,2029,Datos!$O$3:$O$111,"UTIM")</f>
        <v>7</v>
      </c>
      <c r="C37" s="11">
        <f>COUNTIFS(Datos!$S$3:$S$111,2029,Datos!$O$3:$O$111,"UTIM")</f>
        <v>1</v>
      </c>
    </row>
    <row r="38" spans="1:3" x14ac:dyDescent="0.35">
      <c r="A38" s="11">
        <v>2030</v>
      </c>
      <c r="B38" s="11">
        <f>COUNTIFS(Datos!$R$3:$R$111,2030,Datos!$O$3:$O$111,"UTIM")</f>
        <v>6</v>
      </c>
      <c r="C38" s="11">
        <f>COUNTIFS(Datos!$S$3:$S$111,2030,Datos!$O$3:$O$111,"UTIM")</f>
        <v>6</v>
      </c>
    </row>
    <row r="39" spans="1:3" x14ac:dyDescent="0.35">
      <c r="A39" s="11">
        <v>2031</v>
      </c>
      <c r="B39" s="11">
        <f>COUNTIFS(Datos!$R$3:$R$111,2031,Datos!$O$3:$O$111,"UTIM")</f>
        <v>0</v>
      </c>
      <c r="C39" s="11">
        <f>COUNTIFS(Datos!$S$3:$S$111,2031,Datos!$O$3:$O$111,"UTIM")</f>
        <v>6</v>
      </c>
    </row>
    <row r="40" spans="1:3" x14ac:dyDescent="0.35">
      <c r="A40" s="11">
        <v>2032</v>
      </c>
      <c r="B40" s="11">
        <f>COUNTIFS(Datos!$R$3:$R$111,2032,Datos!$O$3:$O$111,"UTIM")</f>
        <v>12</v>
      </c>
      <c r="C40" s="11">
        <f>COUNTIFS(Datos!$S$3:$S$111,2032,Datos!$O$3:$O$111,"UTIM")</f>
        <v>16</v>
      </c>
    </row>
    <row r="41" spans="1:3" x14ac:dyDescent="0.35">
      <c r="A41" s="11">
        <v>2033</v>
      </c>
      <c r="B41" s="11">
        <f>COUNTIFS(Datos!$R$3:$R$111,2033,Datos!$O$3:$O$111,"UTIM")</f>
        <v>4</v>
      </c>
      <c r="C41" s="11">
        <f>COUNTIFS(Datos!$S$3:$S$111,2033,Datos!$O$3:$O$111,"UTIM")</f>
        <v>11</v>
      </c>
    </row>
    <row r="42" spans="1:3" x14ac:dyDescent="0.35">
      <c r="A42" s="11">
        <v>2034</v>
      </c>
      <c r="B42" s="11">
        <f>COUNTIFS(Datos!$R$3:$R$111,2034,Datos!$O$3:$O$111,"UTIM")</f>
        <v>1</v>
      </c>
      <c r="C42" s="11">
        <f>COUNTIFS(Datos!$S$3:$S$111,2034,Datos!$O$3:$O$111,"UTIM")</f>
        <v>7</v>
      </c>
    </row>
    <row r="43" spans="1:3" x14ac:dyDescent="0.35">
      <c r="A43" s="11">
        <v>2035</v>
      </c>
      <c r="B43" s="11">
        <f>COUNTIFS(Datos!$R$3:$R$111,2035,Datos!$O$3:$O$111,"UTIM")</f>
        <v>1</v>
      </c>
      <c r="C43" s="11">
        <f>COUNTIFS(Datos!$S$3:$S$111,2035,Datos!$O$3:$O$111,"UTIM")</f>
        <v>1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96D9B092C5F44B9B265939B01FB7EF" ma:contentTypeVersion="3" ma:contentTypeDescription="Crear nuevo documento." ma:contentTypeScope="" ma:versionID="34d680618b8a34caa23ab68d451492f1">
  <xsd:schema xmlns:xsd="http://www.w3.org/2001/XMLSchema" xmlns:xs="http://www.w3.org/2001/XMLSchema" xmlns:p="http://schemas.microsoft.com/office/2006/metadata/properties" xmlns:ns2="c6c87e70-7197-409a-ac52-e7b7e3c44478" targetNamespace="http://schemas.microsoft.com/office/2006/metadata/properties" ma:root="true" ma:fieldsID="e258325530b93cd3756e4dd6d1c4ada5" ns2:_="">
    <xsd:import namespace="c6c87e70-7197-409a-ac52-e7b7e3c444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87e70-7197-409a-ac52-e7b7e3c44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A3B759-951B-4B94-9556-C1DAC860A3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D110BD-B8AA-420B-A06D-B011D05A05C7}">
  <ds:schemaRefs>
    <ds:schemaRef ds:uri="c6c87e70-7197-409a-ac52-e7b7e3c44478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B9D37F-D948-40BB-B4BD-DB904B766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c87e70-7197-409a-ac52-e7b7e3c444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Antigüedad y Vencimiento</vt:lpstr>
      <vt:lpstr>Resumen Directorio</vt:lpstr>
      <vt:lpstr>Resumen</vt:lpstr>
      <vt:lpstr>Datos</vt:lpstr>
      <vt:lpstr>Análisis por sector</vt:lpstr>
      <vt:lpstr>Por Cliente</vt:lpstr>
      <vt:lpstr>Q moviles necesarios segun RF26</vt:lpstr>
      <vt:lpstr>Plan de Compras</vt:lpstr>
      <vt:lpstr>Resumen por Año</vt:lpstr>
      <vt:lpstr>Base por año</vt:lpstr>
      <vt:lpstr>Trailers (MODELO)</vt:lpstr>
      <vt:lpstr>Antigüedad</vt:lpstr>
      <vt:lpstr>Plan Renovación</vt:lpstr>
      <vt:lpstr>Detalle Renovación</vt:lpstr>
      <vt:lpstr>Datos 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Alonso, Santiago</cp:lastModifiedBy>
  <cp:revision/>
  <dcterms:created xsi:type="dcterms:W3CDTF">2026-03-27T13:41:43Z</dcterms:created>
  <dcterms:modified xsi:type="dcterms:W3CDTF">2026-05-28T19:00:56Z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0x010100D996D9B092C5F44B9B265939B01FB7EF</vt:lpwstr>
  </property>
</Properties>
</file>